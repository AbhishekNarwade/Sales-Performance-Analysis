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arwade\OneDrive\Desktop\Excel practice\"/>
    </mc:Choice>
  </mc:AlternateContent>
  <bookViews>
    <workbookView xWindow="0" yWindow="0" windowWidth="23040" windowHeight="9264"/>
  </bookViews>
  <sheets>
    <sheet name="Sheet1" sheetId="3" r:id="rId1"/>
    <sheet name="Sales Data" sheetId="1" r:id="rId2"/>
    <sheet name="Project Summary" sheetId="2" r:id="rId3"/>
  </sheets>
  <definedNames>
    <definedName name="Slicer_Region">#N/A</definedName>
  </definedNames>
  <calcPr calcId="152511" forceFullCalc="1"/>
  <pivotCaches>
    <pivotCache cacheId="17"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1" i="2" l="1"/>
  <c r="B10" i="2"/>
  <c r="B6" i="2"/>
  <c r="B4" i="2"/>
  <c r="I151" i="1"/>
  <c r="K151" i="1" s="1"/>
  <c r="L151" i="1" s="1"/>
  <c r="I150" i="1"/>
  <c r="K150" i="1" s="1"/>
  <c r="L150" i="1" s="1"/>
  <c r="I149" i="1"/>
  <c r="K149" i="1" s="1"/>
  <c r="L149" i="1" s="1"/>
  <c r="I148" i="1"/>
  <c r="K148" i="1" s="1"/>
  <c r="L148" i="1" s="1"/>
  <c r="I147" i="1"/>
  <c r="K147" i="1" s="1"/>
  <c r="L147" i="1" s="1"/>
  <c r="I146" i="1"/>
  <c r="K146" i="1" s="1"/>
  <c r="L146" i="1" s="1"/>
  <c r="I145" i="1"/>
  <c r="K145" i="1" s="1"/>
  <c r="L145" i="1" s="1"/>
  <c r="I144" i="1"/>
  <c r="K144" i="1" s="1"/>
  <c r="L144" i="1" s="1"/>
  <c r="I143" i="1"/>
  <c r="K143" i="1" s="1"/>
  <c r="L143" i="1" s="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B9" i="2" l="1"/>
  <c r="K2" i="1"/>
  <c r="L2" i="1" s="1"/>
  <c r="B5" i="2"/>
  <c r="B7" i="2" s="1"/>
  <c r="B8" i="2"/>
</calcChain>
</file>

<file path=xl/sharedStrings.xml><?xml version="1.0" encoding="utf-8"?>
<sst xmlns="http://schemas.openxmlformats.org/spreadsheetml/2006/main" count="508" uniqueCount="258">
  <si>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</si>
  <si>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</si>
  <si>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</si>
  <si>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</si>
  <si>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</si>
  <si>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</si>
  <si>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</si>
  <si>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</si>
  <si>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</si>
  <si>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</si>
  <si>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</si>
  <si>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</si>
  <si>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</si>
  <si>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</si>
  <si>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</si>
  <si>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</si>
  <si>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</si>
  <si>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</si>
  <si>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</si>
  <si>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</si>
  <si>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</si>
  <si>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</si>
  <si>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</si>
  <si>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</si>
  <si>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</si>
  <si>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</si>
  <si>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</si>
  <si>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</si>
  <si>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</si>
  <si>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</si>
  <si>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</si>
  <si>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</si>
  <si>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</si>
  <si>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</si>
  <si>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</si>
  <si>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</si>
  <si>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</si>
  <si>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</si>
  <si>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</si>
  <si>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</si>
  <si>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</si>
  <si>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</si>
  <si>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</si>
  <si>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</si>
  <si>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</si>
  <si>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</si>
  <si>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</si>
  <si>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</si>
  <si>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</si>
  <si>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</si>
  <si>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</si>
  <si>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</si>
  <si>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</si>
  <si>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</si>
  <si>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</si>
  <si>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</si>
  <si>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</si>
  <si>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</si>
  <si>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</si>
  <si>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</si>
  <si>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</si>
  <si>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</si>
  <si>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</si>
  <si>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Priya Patil</t>
  </si>
  <si>
    <t>Mum-TCL023</t>
  </si>
  <si>
    <t>Rahul Sharma</t>
  </si>
  <si>
    <t>Mum-TCL024</t>
  </si>
  <si>
    <t>Sneha Deshmukh</t>
  </si>
  <si>
    <t>Mum-TCL025</t>
  </si>
  <si>
    <t>Amit Kulkarni</t>
  </si>
  <si>
    <t>Mum-TCL026</t>
  </si>
  <si>
    <t>Neha Joshi</t>
  </si>
  <si>
    <t>Mum-TCL027</t>
  </si>
  <si>
    <t>Rohit Singh</t>
  </si>
  <si>
    <t>Mum-TCL028</t>
  </si>
  <si>
    <t>Pooja More</t>
  </si>
  <si>
    <t>Mum-TCL029</t>
  </si>
  <si>
    <t>Vikas Pawar</t>
  </si>
  <si>
    <t>Mum-TCL030</t>
  </si>
  <si>
    <t>Kavita Jadhav</t>
  </si>
  <si>
    <t>Mum-TCL031</t>
  </si>
  <si>
    <t>Sanjay Gupta</t>
  </si>
  <si>
    <t>Mum-TCL032</t>
  </si>
  <si>
    <t>Anjali Verma</t>
  </si>
  <si>
    <t>Mum-TCL033</t>
  </si>
  <si>
    <t>Karan Mehta</t>
  </si>
  <si>
    <t>Mum-TCL034</t>
  </si>
  <si>
    <t>Meena Yadav</t>
  </si>
  <si>
    <t>Mum-TCL035</t>
  </si>
  <si>
    <t>Deepak Shinde</t>
  </si>
  <si>
    <t>Mum-TCL036</t>
  </si>
  <si>
    <t>Riya Kapoor</t>
  </si>
  <si>
    <t>Mum-TCL037</t>
  </si>
  <si>
    <t>Manoj Chavan</t>
  </si>
  <si>
    <t>Mum-TCL038</t>
  </si>
  <si>
    <t>Asha Mishra</t>
  </si>
  <si>
    <t>Mum-TCL039</t>
  </si>
  <si>
    <t>Nikhil Rao</t>
  </si>
  <si>
    <t>Mum-TCL040</t>
  </si>
  <si>
    <t>Komal Saini</t>
  </si>
  <si>
    <t>Mum-TCL041</t>
  </si>
  <si>
    <t>Suresh Nair</t>
  </si>
  <si>
    <t>Mum-TCL042</t>
  </si>
  <si>
    <t>Divya Shah</t>
  </si>
  <si>
    <t>Mum-TCL043</t>
  </si>
  <si>
    <t>Akash Bansal</t>
  </si>
  <si>
    <t>Mum-TCL044</t>
  </si>
  <si>
    <t>Payal Thakur</t>
  </si>
  <si>
    <t>Mum-TCL045</t>
  </si>
  <si>
    <t>Varun Jain</t>
  </si>
  <si>
    <t>Mum-TCL046</t>
  </si>
  <si>
    <t>Swati Reddy</t>
  </si>
  <si>
    <t>Mum-TCL047</t>
  </si>
  <si>
    <t>Prakash Gaikwad</t>
  </si>
  <si>
    <t>Mum-TCL048</t>
  </si>
  <si>
    <t>Nisha Khan</t>
  </si>
  <si>
    <t>Mum-TCL049</t>
  </si>
  <si>
    <t>Sachin Soni</t>
  </si>
  <si>
    <t>Mum-TCL050</t>
  </si>
  <si>
    <t>Rekha Kumari</t>
  </si>
  <si>
    <t>Mum-TCL051</t>
  </si>
  <si>
    <t>Ajay Mishra</t>
  </si>
  <si>
    <t>Mum-TCL052</t>
  </si>
  <si>
    <t>Monika Pawar</t>
  </si>
  <si>
    <t>Mum-TCL053</t>
  </si>
  <si>
    <t>Harish Patel</t>
  </si>
  <si>
    <t>Mum-TCL054</t>
  </si>
  <si>
    <t>Isha Malhotra</t>
  </si>
  <si>
    <t>Mum-TCL055</t>
  </si>
  <si>
    <t>Gaurav Das</t>
  </si>
  <si>
    <t>Mum-TCL056</t>
  </si>
  <si>
    <t>Seema Roy</t>
  </si>
  <si>
    <t>Mum-TCL057</t>
  </si>
  <si>
    <t>Ramesh Pillai</t>
  </si>
  <si>
    <t>Mum-TCL058</t>
  </si>
  <si>
    <t>Tanvi Kulkarni</t>
  </si>
  <si>
    <t>Mum-TCL059</t>
  </si>
  <si>
    <t>Abhishek Jain</t>
  </si>
  <si>
    <t>Mum-TCL060</t>
  </si>
  <si>
    <t>Madhuri Sawant</t>
  </si>
  <si>
    <t>Mum-TCL061</t>
  </si>
  <si>
    <t>Yogesh More</t>
  </si>
  <si>
    <t>Mum-TCL062</t>
  </si>
  <si>
    <t>Farhan Ali</t>
  </si>
  <si>
    <t>Mum-TCL063</t>
  </si>
  <si>
    <t>Kiran Shetty</t>
  </si>
  <si>
    <t>Mum-TCL064</t>
  </si>
  <si>
    <t>Preeti Sharma</t>
  </si>
  <si>
    <t>Mum-TCL065</t>
  </si>
  <si>
    <t>Rakesh Yadav</t>
  </si>
  <si>
    <t>Mum-TCL066</t>
  </si>
  <si>
    <t>Shweta Nair</t>
  </si>
  <si>
    <t>Mum-TCL067</t>
  </si>
  <si>
    <t>Mahesh Patil</t>
  </si>
  <si>
    <t>Mum-TCL068</t>
  </si>
  <si>
    <t>Aarti Gupta</t>
  </si>
  <si>
    <t>Mum-TCL069</t>
  </si>
  <si>
    <t>Nitin Joshi</t>
  </si>
  <si>
    <t>Mum-TCL070</t>
  </si>
  <si>
    <t>Simran Kaur</t>
  </si>
  <si>
    <t>Mum-TCL071</t>
  </si>
  <si>
    <t>Omkar Desai</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</si>
  <si>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</si>
  <si>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</si>
  <si>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</si>
  <si>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</si>
  <si>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</si>
  <si>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</si>
  <si>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</si>
  <si>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</si>
  <si>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</si>
  <si>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</si>
  <si>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</si>
  <si>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</si>
  <si>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</si>
  <si>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</si>
  <si>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</si>
  <si>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</si>
  <si>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</si>
  <si>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</si>
  <si>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</si>
  <si>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</si>
  <si>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</si>
  <si>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</si>
  <si>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</si>
  <si>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</si>
  <si>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</si>
  <si>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</si>
  <si>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</si>
  <si>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</si>
  <si>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</si>
  <si>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</si>
  <si>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</si>
  <si>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</si>
  <si>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</si>
  <si>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</si>
  <si>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</si>
  <si>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</si>
  <si>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</si>
  <si>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</si>
  <si>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</si>
  <si>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</si>
  <si>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</si>
  <si>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</si>
  <si>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</si>
  <si>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</si>
  <si>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</si>
  <si>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</si>
  <si>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</si>
  <si>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</si>
  <si>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</si>
  <si>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</si>
  <si>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</si>
  <si>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</si>
  <si>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</si>
  <si>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</si>
  <si>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</si>
  <si>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</si>
  <si>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</si>
  <si>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</si>
  <si>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</si>
  <si>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</si>
  <si>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</si>
  <si>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</si>
  <si>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</si>
  <si>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</si>
  <si>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</si>
  <si>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</si>
  <si>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</si>
  <si>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</si>
  <si>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</si>
  <si>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</si>
  <si>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Mum-TCL142</t>
  </si>
  <si>
    <t>Mum-TCL143</t>
  </si>
  <si>
    <t>Mum-TCL144</t>
  </si>
  <si>
    <t>Mum-TCL145</t>
  </si>
  <si>
    <t>Mum-TCL146</t>
  </si>
  <si>
    <t>Mum-TCL147</t>
  </si>
  <si>
    <t>Mum-TCL148</t>
  </si>
  <si>
    <t>Mum-TCL149</t>
  </si>
  <si>
    <t>Mum-TCL150</t>
  </si>
  <si>
    <t>SALES PERFORMANCE PROJECT</t>
  </si>
  <si>
    <t>150 employee records: 21 transcribed from screenshot + 129 sample records for project practice.</t>
  </si>
  <si>
    <t>Metric</t>
  </si>
  <si>
    <t>Value</t>
  </si>
  <si>
    <t>Employees</t>
  </si>
  <si>
    <t>Total Target</t>
  </si>
  <si>
    <t>Overall Target Hit %</t>
  </si>
  <si>
    <t>Average Sales per Employee</t>
  </si>
  <si>
    <t>Employees Meeting Target</t>
  </si>
  <si>
    <t>Records from Screenshot</t>
  </si>
  <si>
    <t>Sample Records</t>
  </si>
  <si>
    <t>Important:</t>
  </si>
  <si>
    <t>Rows marked 'Sample data' are generated for practice and are not present in the screenshot.</t>
  </si>
  <si>
    <t>Grand Total</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</si>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</sst>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0"/>
      <color rgb="FF000000"/>
      <name val="Arial"/>
    </font>
    <font>
      <b/>
      <sz val="10"/>
      <color rgb="FF000000"/>
      <name val="Arial"/>
    </font>
    <font>
      <b/>
      <sz val="14"/>
      <color rgb="FF000000"/>
      <name val="Arial"/>
    </font>
    <font>
      <sz val="8"/>
      <name val="Segoe UI"/>
      <family val="2"/>
    </font>
  </fonts>
  <fills count="4">
    <fill>
      <patternFill patternType="none"/>
    </fill>
    <fill>
      <patternFill patternType="gray125"/>
    </fill>
    <fill>
      <patternFill patternType="solid">
        <fgColor rgb="FFE7E6E6"/>
      </patternFill>
    </fill>
    <fill>
      <patternFill patternType="solid">
        <fgColor theme="8" tint="0.79998168889431442"/>
        <bgColor indexed="64"/>
      </patternFill>
    </fill>
  </fills>
  <borders count="3">
    <border>
      <left/>
      <right/>
      <top/>
      <bottom/>
      <diagonal/>
    </border>
    <border>
      <left/>
      <right/>
      <top/>
      <bottom style="thin">
        <color rgb="FFD9D9D9"/>
      </bottom>
      <diagonal/>
    </border>
    <border>
      <left/>
      <right/>
      <top/>
      <bottom style="thin">
        <color rgb="FFD9D9D9"/>
      </bottom>
      <diagonal/>
    </border>
  </borders>
  <cellStyleXfs count="1">
    <xf numFmtId="0" fontId="0" fillId="0" borderId="0"/>
  </cellStyleXfs>
  <cellXfs count="16">
    <xf numFmtId="0" fontId="0" fillId="0" borderId="0" xfId="0"/>
    <xf numFmtId="10" fontId="0" fillId="0" borderId="0" xfId="0" applyNumberFormat="1"/>
    <xf numFmtId="0" fontId="2" fillId="2" borderId="1" xfId="0" applyFont="1" applyFill="1" applyBorder="1" applyAlignment="1">
      <alignment horizontal="center" vertical="center" wrapText="1"/>
    </xf>
    <xf numFmtId="0" fontId="1" fillId="0" borderId="1" xfId="0" applyFont="1" applyBorder="1" applyAlignment="1">
      <alignment vertical="center"/>
    </xf>
    <xf numFmtId="10" fontId="1" fillId="0" borderId="1" xfId="0" applyNumberFormat="1" applyFont="1" applyBorder="1" applyAlignment="1">
      <alignment vertical="center"/>
    </xf>
    <xf numFmtId="0" fontId="2" fillId="2" borderId="1" xfId="0" applyFont="1" applyFill="1" applyBorder="1" applyAlignment="1">
      <alignment vertical="center"/>
    </xf>
    <xf numFmtId="1" fontId="1" fillId="0" borderId="1" xfId="0" applyNumberFormat="1" applyFont="1" applyBorder="1" applyAlignment="1">
      <alignment vertical="center"/>
    </xf>
    <xf numFmtId="3" fontId="1" fillId="0" borderId="1" xfId="0" applyNumberFormat="1" applyFont="1" applyBorder="1" applyAlignment="1">
      <alignment vertical="center"/>
    </xf>
    <xf numFmtId="4" fontId="1" fillId="0" borderId="1" xfId="0" applyNumberFormat="1" applyFont="1" applyBorder="1" applyAlignment="1">
      <alignment vertical="center"/>
    </xf>
    <xf numFmtId="0" fontId="3" fillId="2" borderId="1" xfId="0" applyFont="1" applyFill="1" applyBorder="1" applyAlignment="1">
      <alignment vertical="center"/>
    </xf>
    <xf numFmtId="0" fontId="0" fillId="0" borderId="2" xfId="0" applyBorder="1"/>
    <xf numFmtId="0" fontId="1" fillId="0" borderId="1" xfId="0" applyFont="1" applyBorder="1" applyAlignment="1">
      <alignment vertical="center"/>
    </xf>
    <xf numFmtId="0" fontId="0" fillId="0" borderId="0" xfId="0" pivotButton="1"/>
    <xf numFmtId="0" fontId="0" fillId="0" borderId="0" xfId="0" applyAlignment="1">
      <alignment horizontal="left"/>
    </xf>
    <xf numFmtId="0" fontId="0" fillId="0" borderId="0" xfId="0" applyNumberFormat="1"/>
    <xf numFmtId="0" fontId="0" fillId="3" borderId="0" xfId="0" applyFill="1"/>
  </cellXfs>
  <cellStyles count="1">
    <cellStyle name="Normal" xfId="0" builtinId="0"/>
  </cellStyles>
  <dxfs count="1">
    <dxf>
      <fill>
        <gradientFill type="path" left="0.5" right="0.5" top="0.5" bottom="0.5">
          <stop position="0">
            <color theme="0"/>
          </stop>
          <stop position="1">
            <color theme="3" tint="-0.25098422193060094"/>
          </stop>
        </gradientFill>
      </fill>
    </dxf>
  </dxfs>
  <tableStyles count="1" defaultTableStyle="TableStyleMedium9" defaultPivotStyle="PivotStyleLight16">
    <tableStyle name="Slicer Style 1" pivot="0" table="0" count="5">
      <tableStyleElement type="wholeTable" dxfId="0"/>
    </tableStyle>
  </tableStyles>
  <colors>
    <mruColors>
      <color rgb="FFF49999"/>
    </mruColors>
  </colors>
  <extLst>
    <ext xmlns:x14="http://schemas.microsoft.com/office/spreadsheetml/2009/9/main" uri="{46F421CA-312F-682f-3DD2-61675219B42D}">
      <x14:dxfs count="4">
        <dxf>
          <fill>
            <patternFill patternType="darkGrid">
              <fgColor theme="8" tint="0.39994506668294322"/>
              <bgColor rgb="FFF49999"/>
            </patternFill>
          </fill>
        </dxf>
        <dxf>
          <fill>
            <gradientFill type="path" left="0.5" right="0.5" top="0.5" bottom="0.5">
              <stop position="0">
                <color theme="0"/>
              </stop>
              <stop position="1">
                <color theme="9" tint="0.40000610370189521"/>
              </stop>
            </gradientFill>
          </fill>
        </dxf>
        <dxf>
          <fill>
            <patternFill>
              <bgColor rgb="FFFFFF00"/>
            </patternFill>
          </fill>
        </dxf>
        <dxf>
          <fill>
            <gradientFill type="path" left="0.5" right="0.5" top="0.5" bottom="0.5">
              <stop position="0">
                <color theme="0"/>
              </stop>
              <stop position="1">
                <color theme="8" tint="0.40000610370189521"/>
              </stop>
            </gradient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[Sales_Performance_Project.xlsm]Sheet1!PivotTable2</c:name>
    <c:fmtId val="0"/>
  </c:pivotSource>
  <c:chart>
    <c:autoTitleDeleted val="1"/>
    <c:pivotFmts>
      <c:pivotFmt>
        <c:idx val="0"/>
        <c:spPr>
          <a:solidFill>
            <a:schemeClr val="accent1"/>
          </a:solidFill>
          <a:ln>
            <a:noFill/>
          </a:ln>
          <a:effectLst/>
        </c:spPr>
        <c:marker>
          <c:symbol val="none"/>
        </c:marker>
        <c:dLbl>
          <c:idx val="0"/>
          <c:layout/>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4552456524021937"/>
          <c:y val="7.3193286336641961E-2"/>
          <c:w val="0.72226255173718756"/>
          <c:h val="0.85361342732671608"/>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Abhishek Jain</c:v>
                </c:pt>
                <c:pt idx="1">
                  <c:v>Amit Kulkarni</c:v>
                </c:pt>
                <c:pt idx="2">
                  <c:v>Karan Mehta</c:v>
                </c:pt>
                <c:pt idx="3">
                  <c:v>Raj Verma</c:v>
                </c:pt>
                <c:pt idx="4">
                  <c:v>Ramesh Pillai</c:v>
                </c:pt>
              </c:strCache>
            </c:strRef>
          </c:cat>
          <c:val>
            <c:numRef>
              <c:f>Sheet1!$B$4:$B$9</c:f>
              <c:numCache>
                <c:formatCode>General</c:formatCode>
                <c:ptCount val="5"/>
                <c:pt idx="0">
                  <c:v>510</c:v>
                </c:pt>
                <c:pt idx="1">
                  <c:v>387</c:v>
                </c:pt>
                <c:pt idx="2">
                  <c:v>340</c:v>
                </c:pt>
                <c:pt idx="3">
                  <c:v>339</c:v>
                </c:pt>
                <c:pt idx="4">
                  <c:v>327</c:v>
                </c:pt>
              </c:numCache>
            </c:numRef>
          </c:val>
        </c:ser>
        <c:dLbls>
          <c:showLegendKey val="0"/>
          <c:showVal val="0"/>
          <c:showCatName val="0"/>
          <c:showSerName val="0"/>
          <c:showPercent val="0"/>
          <c:showBubbleSize val="0"/>
        </c:dLbls>
        <c:gapWidth val="182"/>
        <c:axId val="306197952"/>
        <c:axId val="306201088"/>
      </c:barChart>
      <c:catAx>
        <c:axId val="306197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201088"/>
        <c:crosses val="autoZero"/>
        <c:auto val="1"/>
        <c:lblAlgn val="ctr"/>
        <c:lblOffset val="100"/>
        <c:noMultiLvlLbl val="0"/>
      </c:catAx>
      <c:valAx>
        <c:axId val="306201088"/>
        <c:scaling>
          <c:orientation val="minMax"/>
        </c:scaling>
        <c:delete val="1"/>
        <c:axPos val="b"/>
        <c:numFmt formatCode="General" sourceLinked="1"/>
        <c:majorTickMark val="none"/>
        <c:minorTickMark val="none"/>
        <c:tickLblPos val="nextTo"/>
        <c:crossAx val="306197952"/>
        <c:crosses val="autoZero"/>
        <c:crossBetween val="between"/>
      </c:valAx>
      <c:spPr>
        <a:noFill/>
        <a:ln>
          <a:solidFill>
            <a:srgbClr val="FFC000"/>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[Sales_Performance_Project.xlsm]Sheet1!PivotTable4</c:name>
    <c:fmtId val="0"/>
  </c:pivotSource>
  <c:chart>
    <c:autoTitleDeleted val="1"/>
    <c:pivotFmts>
      <c:pivotFmt>
        <c:idx val="0"/>
        <c:spPr>
          <a:solidFill>
            <a:schemeClr val="accent1"/>
          </a:solidFill>
          <a:ln>
            <a:noFill/>
          </a:ln>
          <a:effectLst>
            <a:glow rad="228600">
              <a:schemeClr val="bg1">
                <a:lumMod val="85000"/>
                <a:alpha val="40000"/>
              </a:schemeClr>
            </a:glow>
            <a:outerShdw blurRad="101600" dist="50800" dir="13500000" sx="91000" sy="91000" kx="1200000" algn="br" rotWithShape="0">
              <a:schemeClr val="tx1">
                <a:alpha val="20000"/>
              </a:schemeClr>
            </a:outerShdw>
          </a:effectLst>
          <a:scene3d>
            <a:camera prst="orthographicFront"/>
            <a:lightRig rig="threePt" dir="t"/>
          </a:scene3d>
          <a:sp3d>
            <a:bevelT/>
          </a:sp3d>
        </c:spPr>
        <c:marker>
          <c:symbol val="circle"/>
          <c:size val="6"/>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Sheet1!$H$3</c:f>
              <c:strCache>
                <c:ptCount val="1"/>
                <c:pt idx="0">
                  <c:v>Total</c:v>
                </c:pt>
              </c:strCache>
            </c:strRef>
          </c:tx>
          <c:spPr>
            <a:effectLst>
              <a:glow rad="228600">
                <a:schemeClr val="bg1">
                  <a:lumMod val="85000"/>
                  <a:alpha val="40000"/>
                </a:schemeClr>
              </a:glow>
              <a:outerShdw blurRad="101600" dist="50800" dir="13500000" sx="91000" sy="91000" kx="1200000" algn="br" rotWithShape="0">
                <a:schemeClr val="tx1">
                  <a:alpha val="20000"/>
                </a:schemeClr>
              </a:outerShdw>
            </a:effectLst>
            <a:scene3d>
              <a:camera prst="orthographicFront"/>
              <a:lightRig rig="threePt" dir="t"/>
            </a:scene3d>
            <a:sp3d>
              <a:bevelT/>
            </a:sp3d>
          </c:spPr>
          <c:dPt>
            <c:idx val="0"/>
            <c:bubble3D val="0"/>
            <c:spPr>
              <a:solidFill>
                <a:schemeClr val="accent1"/>
              </a:solidFill>
              <a:ln>
                <a:noFill/>
              </a:ln>
              <a:effectLst>
                <a:glow rad="228600">
                  <a:schemeClr val="bg1">
                    <a:lumMod val="85000"/>
                    <a:alpha val="40000"/>
                  </a:schemeClr>
                </a:glow>
                <a:outerShdw blurRad="101600" dist="50800" dir="13500000" sx="91000" sy="91000" kx="1200000" algn="br" rotWithShape="0">
                  <a:schemeClr val="tx1">
                    <a:alpha val="20000"/>
                  </a:schemeClr>
                </a:outerShdw>
              </a:effectLst>
              <a:scene3d>
                <a:camera prst="orthographicFront"/>
                <a:lightRig rig="threePt" dir="t"/>
              </a:scene3d>
              <a:sp3d>
                <a:bevelT/>
              </a:sp3d>
            </c:spPr>
          </c:dPt>
          <c:dPt>
            <c:idx val="1"/>
            <c:bubble3D val="0"/>
            <c:spPr>
              <a:solidFill>
                <a:schemeClr val="accent2"/>
              </a:solidFill>
              <a:ln>
                <a:noFill/>
              </a:ln>
              <a:effectLst>
                <a:glow rad="228600">
                  <a:schemeClr val="bg1">
                    <a:lumMod val="85000"/>
                    <a:alpha val="40000"/>
                  </a:schemeClr>
                </a:glow>
                <a:outerShdw blurRad="101600" dist="50800" dir="13500000" sx="91000" sy="91000" kx="1200000" algn="br" rotWithShape="0">
                  <a:schemeClr val="tx1">
                    <a:alpha val="20000"/>
                  </a:schemeClr>
                </a:outerShdw>
              </a:effectLst>
              <a:scene3d>
                <a:camera prst="orthographicFront"/>
                <a:lightRig rig="threePt" dir="t"/>
              </a:scene3d>
              <a:sp3d>
                <a:bevelT/>
              </a:sp3d>
            </c:spPr>
          </c:dPt>
          <c:dPt>
            <c:idx val="2"/>
            <c:bubble3D val="0"/>
            <c:spPr>
              <a:solidFill>
                <a:schemeClr val="accent3"/>
              </a:solidFill>
              <a:ln>
                <a:noFill/>
              </a:ln>
              <a:effectLst>
                <a:glow rad="228600">
                  <a:schemeClr val="bg1">
                    <a:lumMod val="85000"/>
                    <a:alpha val="40000"/>
                  </a:schemeClr>
                </a:glow>
                <a:outerShdw blurRad="101600" dist="50800" dir="13500000" sx="91000" sy="91000" kx="1200000" algn="br" rotWithShape="0">
                  <a:schemeClr val="tx1">
                    <a:alpha val="20000"/>
                  </a:schemeClr>
                </a:outerShdw>
              </a:effectLst>
              <a:scene3d>
                <a:camera prst="orthographicFront"/>
                <a:lightRig rig="threePt" dir="t"/>
              </a:scene3d>
              <a:sp3d>
                <a:bevelT/>
              </a:sp3d>
            </c:spPr>
          </c:dPt>
          <c:dPt>
            <c:idx val="3"/>
            <c:bubble3D val="0"/>
            <c:spPr>
              <a:solidFill>
                <a:schemeClr val="accent4"/>
              </a:solidFill>
              <a:ln>
                <a:noFill/>
              </a:ln>
              <a:effectLst>
                <a:glow rad="228600">
                  <a:schemeClr val="bg1">
                    <a:lumMod val="85000"/>
                    <a:alpha val="40000"/>
                  </a:schemeClr>
                </a:glow>
                <a:outerShdw blurRad="101600" dist="50800" dir="13500000" sx="91000" sy="91000" kx="1200000" algn="br" rotWithShape="0">
                  <a:schemeClr val="tx1">
                    <a:alpha val="20000"/>
                  </a:schemeClr>
                </a:outerShdw>
              </a:effectLst>
              <a:scene3d>
                <a:camera prst="orthographicFront"/>
                <a:lightRig rig="threePt" dir="t"/>
              </a:scene3d>
              <a:sp3d>
                <a:bevelT/>
              </a:sp3d>
            </c:spPr>
          </c:dPt>
          <c:dPt>
            <c:idx val="4"/>
            <c:bubble3D val="0"/>
            <c:spPr>
              <a:solidFill>
                <a:schemeClr val="accent5"/>
              </a:solidFill>
              <a:ln>
                <a:noFill/>
              </a:ln>
              <a:effectLst>
                <a:glow rad="228600">
                  <a:schemeClr val="bg1">
                    <a:lumMod val="85000"/>
                    <a:alpha val="40000"/>
                  </a:schemeClr>
                </a:glow>
                <a:outerShdw blurRad="101600" dist="50800" dir="13500000" sx="91000" sy="91000" kx="1200000" algn="br" rotWithShape="0">
                  <a:schemeClr val="tx1">
                    <a:alpha val="20000"/>
                  </a:schemeClr>
                </a:outerShdw>
              </a:effectLst>
              <a:scene3d>
                <a:camera prst="orthographicFront"/>
                <a:lightRig rig="threePt" dir="t"/>
              </a:scene3d>
              <a:sp3d>
                <a:bevelT/>
              </a:sp3d>
            </c:spPr>
          </c:dPt>
          <c:dPt>
            <c:idx val="5"/>
            <c:bubble3D val="0"/>
            <c:spPr>
              <a:solidFill>
                <a:schemeClr val="accent6"/>
              </a:solidFill>
              <a:ln>
                <a:noFill/>
              </a:ln>
              <a:effectLst>
                <a:glow rad="228600">
                  <a:schemeClr val="bg1">
                    <a:lumMod val="85000"/>
                    <a:alpha val="40000"/>
                  </a:schemeClr>
                </a:glow>
                <a:outerShdw blurRad="101600" dist="50800" dir="13500000" sx="91000" sy="91000" kx="1200000" algn="br" rotWithShape="0">
                  <a:schemeClr val="tx1">
                    <a:alpha val="20000"/>
                  </a:schemeClr>
                </a:outerShdw>
              </a:effectLst>
              <a:scene3d>
                <a:camera prst="orthographicFront"/>
                <a:lightRig rig="threePt" dir="t"/>
              </a:scene3d>
              <a:sp3d>
                <a:bevelT/>
              </a:sp3d>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Sheet1!$G$4:$G$9</c:f>
              <c:strCache>
                <c:ptCount val="6"/>
                <c:pt idx="0">
                  <c:v>Amit Kulkarni</c:v>
                </c:pt>
                <c:pt idx="1">
                  <c:v>Karan Mehta</c:v>
                </c:pt>
                <c:pt idx="2">
                  <c:v>Komal Saini</c:v>
                </c:pt>
                <c:pt idx="3">
                  <c:v>Raj Verma</c:v>
                </c:pt>
                <c:pt idx="4">
                  <c:v>Ramesh Pillai</c:v>
                </c:pt>
                <c:pt idx="5">
                  <c:v>Sudama Kumar</c:v>
                </c:pt>
              </c:strCache>
            </c:strRef>
          </c:cat>
          <c:val>
            <c:numRef>
              <c:f>Sheet1!$H$4:$H$9</c:f>
              <c:numCache>
                <c:formatCode>0.00%</c:formatCode>
                <c:ptCount val="6"/>
                <c:pt idx="0">
                  <c:v>0.77400000000000002</c:v>
                </c:pt>
                <c:pt idx="1">
                  <c:v>0.68</c:v>
                </c:pt>
                <c:pt idx="2">
                  <c:v>0.628</c:v>
                </c:pt>
                <c:pt idx="3">
                  <c:v>0.67800000000000005</c:v>
                </c:pt>
                <c:pt idx="4">
                  <c:v>0.65400000000000003</c:v>
                </c:pt>
                <c:pt idx="5">
                  <c:v>0.61199999999999999</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[Sales_Performance_Project.xlsm]Sheet1!PivotTable5</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8575" cap="rnd">
            <a:solidFill>
              <a:schemeClr val="accent1"/>
            </a:solidFill>
            <a:round/>
          </a:ln>
          <a:effectLst/>
        </c:spPr>
        <c:marker>
          <c:symbol val="none"/>
        </c:marker>
        <c:dLbl>
          <c:idx val="0"/>
          <c:layout>
            <c:manualLayout>
              <c:x val="-7.0960714956209231E-2"/>
              <c:y val="4.845581826833404E-2"/>
            </c:manualLayout>
          </c:layout>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8575" cap="rnd">
            <a:solidFill>
              <a:schemeClr val="accent1"/>
            </a:solidFill>
            <a:round/>
          </a:ln>
          <a:effectLst/>
        </c:spPr>
        <c:marker>
          <c:symbol val="none"/>
        </c:marker>
        <c:dLbl>
          <c:idx val="0"/>
          <c:layout>
            <c:manualLayout>
              <c:x val="0"/>
              <c:y val="-4.845581826833404E-2"/>
            </c:manualLayout>
          </c:layout>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dLbl>
          <c:idx val="0"/>
          <c:layout>
            <c:manualLayout>
              <c:x val="-3.3115000312897644E-2"/>
              <c:y val="2.0766779257857384E-2"/>
            </c:manualLayout>
          </c:layout>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
        <c:spPr>
          <a:ln w="28575" cap="rnd">
            <a:solidFill>
              <a:schemeClr val="accent1"/>
            </a:solidFill>
            <a:round/>
          </a:ln>
          <a:effectLst/>
        </c:spPr>
        <c:marker>
          <c:symbol val="none"/>
        </c:marker>
        <c:dLbl>
          <c:idx val="0"/>
          <c:layout>
            <c:manualLayout>
              <c:x val="-8.0422143617037131E-2"/>
              <c:y val="-4.9726782375127891E-2"/>
            </c:manualLayout>
          </c:layout>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5"/>
        <c:dLbl>
          <c:idx val="0"/>
          <c:layout>
            <c:manualLayout>
              <c:x val="-7.0960714956209231E-2"/>
              <c:y val="-4.2622956321538188E-2"/>
            </c:manualLayout>
          </c:layout>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6"/>
        <c:dLbl>
          <c:idx val="0"/>
          <c:layout>
            <c:manualLayout>
              <c:x val="-7.5691429286623174E-2"/>
              <c:y val="4.2622956321538057E-2"/>
            </c:manualLayout>
          </c:layout>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1.1298407639989209E-2"/>
          <c:y val="5.2173596714988481E-2"/>
          <c:w val="0.96412926546533839"/>
          <c:h val="0.76593116895974811"/>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dLbl>
              <c:idx val="0"/>
              <c:layout>
                <c:manualLayout>
                  <c:x val="-8.0422143617037131E-2"/>
                  <c:y val="-4.9726782375127891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7.0960714956209231E-2"/>
                  <c:y val="4.845581826833404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0"/>
                  <c:y val="-4.845581826833404E-2"/>
                </c:manualLayout>
              </c:layout>
              <c:showLegendKey val="0"/>
              <c:showVal val="1"/>
              <c:showCatName val="0"/>
              <c:showSerName val="0"/>
              <c:showPercent val="0"/>
              <c:showBubbleSize val="0"/>
              <c:extLst>
                <c:ext xmlns:c15="http://schemas.microsoft.com/office/drawing/2012/chart" uri="{CE6537A1-D6FC-4f65-9D91-7224C49458BB}">
                  <c15:layout/>
                </c:ext>
              </c:extLst>
            </c:dLbl>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Sheet1!$J$4:$J$9</c:f>
              <c:strCache>
                <c:ptCount val="6"/>
                <c:pt idx="0">
                  <c:v>Manoj Chavan</c:v>
                </c:pt>
                <c:pt idx="1">
                  <c:v>Preeti Sharma</c:v>
                </c:pt>
                <c:pt idx="2">
                  <c:v>Priya Patil</c:v>
                </c:pt>
                <c:pt idx="3">
                  <c:v>Sneha Deshmukh</c:v>
                </c:pt>
                <c:pt idx="4">
                  <c:v>Swarnlata Borse</c:v>
                </c:pt>
                <c:pt idx="5">
                  <c:v>Tanvi Kulkarni</c:v>
                </c:pt>
              </c:strCache>
            </c:strRef>
          </c:cat>
          <c:val>
            <c:numRef>
              <c:f>Sheet1!$K$4:$K$9</c:f>
              <c:numCache>
                <c:formatCode>0.00%</c:formatCode>
                <c:ptCount val="6"/>
                <c:pt idx="0">
                  <c:v>0.58800000000000008</c:v>
                </c:pt>
                <c:pt idx="1">
                  <c:v>0.57600000000000007</c:v>
                </c:pt>
                <c:pt idx="2">
                  <c:v>0.52400000000000002</c:v>
                </c:pt>
                <c:pt idx="3">
                  <c:v>0.63200000000000001</c:v>
                </c:pt>
                <c:pt idx="4">
                  <c:v>0.622</c:v>
                </c:pt>
                <c:pt idx="5">
                  <c:v>0.63400000000000001</c:v>
                </c:pt>
              </c:numCache>
            </c:numRef>
          </c:val>
          <c:smooth val="0"/>
        </c:ser>
        <c:dLbls>
          <c:showLegendKey val="0"/>
          <c:showVal val="0"/>
          <c:showCatName val="0"/>
          <c:showSerName val="0"/>
          <c:showPercent val="0"/>
          <c:showBubbleSize val="0"/>
        </c:dLbls>
        <c:smooth val="0"/>
        <c:axId val="385391352"/>
        <c:axId val="385383512"/>
      </c:lineChart>
      <c:catAx>
        <c:axId val="38539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385383512"/>
        <c:crosses val="autoZero"/>
        <c:auto val="1"/>
        <c:lblAlgn val="ctr"/>
        <c:lblOffset val="100"/>
        <c:noMultiLvlLbl val="0"/>
      </c:catAx>
      <c:valAx>
        <c:axId val="385383512"/>
        <c:scaling>
          <c:orientation val="minMax"/>
        </c:scaling>
        <c:delete val="1"/>
        <c:axPos val="l"/>
        <c:numFmt formatCode="0.00%" sourceLinked="1"/>
        <c:majorTickMark val="none"/>
        <c:minorTickMark val="none"/>
        <c:tickLblPos val="nextTo"/>
        <c:crossAx val="385391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9</xdr:row>
      <xdr:rowOff>91440</xdr:rowOff>
    </xdr:from>
    <xdr:to>
      <xdr:col>5</xdr:col>
      <xdr:colOff>6627</xdr:colOff>
      <xdr:row>20</xdr:row>
      <xdr:rowOff>92765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17585</xdr:colOff>
      <xdr:row>9</xdr:row>
      <xdr:rowOff>99644</xdr:rowOff>
    </xdr:from>
    <xdr:to>
      <xdr:col>8</xdr:col>
      <xdr:colOff>0</xdr:colOff>
      <xdr:row>20</xdr:row>
      <xdr:rowOff>92764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1530</xdr:colOff>
      <xdr:row>9</xdr:row>
      <xdr:rowOff>125896</xdr:rowOff>
    </xdr:from>
    <xdr:to>
      <xdr:col>11</xdr:col>
      <xdr:colOff>1529</xdr:colOff>
      <xdr:row>20</xdr:row>
      <xdr:rowOff>79513</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6626</xdr:colOff>
      <xdr:row>1</xdr:row>
      <xdr:rowOff>95976</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071113" cy="3676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468924</xdr:colOff>
      <xdr:row>1</xdr:row>
      <xdr:rowOff>117231</xdr:rowOff>
    </xdr:from>
    <xdr:to>
      <xdr:col>1</xdr:col>
      <xdr:colOff>375139</xdr:colOff>
      <xdr:row>1</xdr:row>
      <xdr:rowOff>357554</xdr:rowOff>
    </xdr:to>
    <xdr:sp macro="" textlink="">
      <xdr:nvSpPr>
        <xdr:cNvPr id="6" name="Rounded Rectangular Callout 5"/>
        <xdr:cNvSpPr/>
      </xdr:nvSpPr>
      <xdr:spPr>
        <a:xfrm>
          <a:off x="468924" y="287216"/>
          <a:ext cx="1125415" cy="240323"/>
        </a:xfrm>
        <a:prstGeom prst="wedgeRoundRectCallout">
          <a:avLst>
            <a:gd name="adj1" fmla="val -19791"/>
            <a:gd name="adj2" fmla="val 74745"/>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550984</xdr:colOff>
          <xdr:row>1</xdr:row>
          <xdr:rowOff>120162</xdr:rowOff>
        </xdr:from>
        <xdr:to>
          <xdr:col>1</xdr:col>
          <xdr:colOff>123784</xdr:colOff>
          <xdr:row>1</xdr:row>
          <xdr:rowOff>341142</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1  </a:t>
              </a:r>
            </a:p>
          </xdr:txBody>
        </xdr:sp>
        <xdr:clientData/>
      </xdr:twoCellAnchor>
    </mc:Choice>
    <mc:Fallback/>
  </mc:AlternateContent>
  <xdr:twoCellAnchor>
    <xdr:from>
      <xdr:col>3</xdr:col>
      <xdr:colOff>416169</xdr:colOff>
      <xdr:row>1</xdr:row>
      <xdr:rowOff>117230</xdr:rowOff>
    </xdr:from>
    <xdr:to>
      <xdr:col>4</xdr:col>
      <xdr:colOff>357553</xdr:colOff>
      <xdr:row>1</xdr:row>
      <xdr:rowOff>357553</xdr:rowOff>
    </xdr:to>
    <xdr:sp macro="" textlink="">
      <xdr:nvSpPr>
        <xdr:cNvPr id="8" name="Rounded Rectangular Callout 7"/>
        <xdr:cNvSpPr/>
      </xdr:nvSpPr>
      <xdr:spPr>
        <a:xfrm>
          <a:off x="2473569" y="287215"/>
          <a:ext cx="1125415" cy="240323"/>
        </a:xfrm>
        <a:prstGeom prst="wedgeRoundRectCallout">
          <a:avLst>
            <a:gd name="adj1" fmla="val -19791"/>
            <a:gd name="adj2" fmla="val 74745"/>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530894</xdr:colOff>
          <xdr:row>1</xdr:row>
          <xdr:rowOff>126024</xdr:rowOff>
        </xdr:from>
        <xdr:to>
          <xdr:col>4</xdr:col>
          <xdr:colOff>496311</xdr:colOff>
          <xdr:row>1</xdr:row>
          <xdr:rowOff>347004</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2  </a:t>
              </a:r>
            </a:p>
          </xdr:txBody>
        </xdr:sp>
        <xdr:clientData/>
      </xdr:twoCellAnchor>
    </mc:Choice>
    <mc:Fallback/>
  </mc:AlternateContent>
  <xdr:twoCellAnchor>
    <xdr:from>
      <xdr:col>6</xdr:col>
      <xdr:colOff>451339</xdr:colOff>
      <xdr:row>1</xdr:row>
      <xdr:rowOff>111370</xdr:rowOff>
    </xdr:from>
    <xdr:to>
      <xdr:col>7</xdr:col>
      <xdr:colOff>416169</xdr:colOff>
      <xdr:row>1</xdr:row>
      <xdr:rowOff>351693</xdr:rowOff>
    </xdr:to>
    <xdr:sp macro="" textlink="">
      <xdr:nvSpPr>
        <xdr:cNvPr id="10" name="Rounded Rectangular Callout 9"/>
        <xdr:cNvSpPr/>
      </xdr:nvSpPr>
      <xdr:spPr>
        <a:xfrm>
          <a:off x="4513385" y="281355"/>
          <a:ext cx="1125415" cy="240323"/>
        </a:xfrm>
        <a:prstGeom prst="wedgeRoundRectCallout">
          <a:avLst>
            <a:gd name="adj1" fmla="val -19791"/>
            <a:gd name="adj2" fmla="val 74745"/>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616222</xdr:colOff>
          <xdr:row>1</xdr:row>
          <xdr:rowOff>114303</xdr:rowOff>
        </xdr:from>
        <xdr:to>
          <xdr:col>7</xdr:col>
          <xdr:colOff>605085</xdr:colOff>
          <xdr:row>1</xdr:row>
          <xdr:rowOff>335283</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3  </a:t>
              </a:r>
            </a:p>
          </xdr:txBody>
        </xdr:sp>
        <xdr:clientData/>
      </xdr:twoCellAnchor>
    </mc:Choice>
    <mc:Fallback/>
  </mc:AlternateContent>
  <xdr:twoCellAnchor>
    <xdr:from>
      <xdr:col>9</xdr:col>
      <xdr:colOff>633047</xdr:colOff>
      <xdr:row>1</xdr:row>
      <xdr:rowOff>117231</xdr:rowOff>
    </xdr:from>
    <xdr:to>
      <xdr:col>10</xdr:col>
      <xdr:colOff>592016</xdr:colOff>
      <xdr:row>1</xdr:row>
      <xdr:rowOff>357554</xdr:rowOff>
    </xdr:to>
    <xdr:sp macro="" textlink="">
      <xdr:nvSpPr>
        <xdr:cNvPr id="14" name="Rounded Rectangular Callout 13"/>
        <xdr:cNvSpPr/>
      </xdr:nvSpPr>
      <xdr:spPr>
        <a:xfrm>
          <a:off x="7010401" y="287216"/>
          <a:ext cx="1125415" cy="240323"/>
        </a:xfrm>
        <a:prstGeom prst="wedgeRoundRectCallout">
          <a:avLst>
            <a:gd name="adj1" fmla="val -19791"/>
            <a:gd name="adj2" fmla="val 74745"/>
            <a:gd name="adj3" fmla="val 16667"/>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750276</xdr:colOff>
          <xdr:row>1</xdr:row>
          <xdr:rowOff>126026</xdr:rowOff>
        </xdr:from>
        <xdr:to>
          <xdr:col>10</xdr:col>
          <xdr:colOff>733278</xdr:colOff>
          <xdr:row>1</xdr:row>
          <xdr:rowOff>347006</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IN" sz="800" b="0" i="0" u="none" strike="noStrike" baseline="0">
                  <a:solidFill>
                    <a:srgbClr val="000000"/>
                  </a:solidFill>
                  <a:latin typeface="Segoe UI"/>
                  <a:cs typeface="Segoe UI"/>
                </a:rPr>
                <a:t>Dashboard 4 </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arwade" refreshedDate="46318.726304398151" createdVersion="5" refreshedVersion="5" minRefreshableVersion="3" recordCount="150">
  <cacheSource type="worksheet">
    <worksheetSource name="SalesTable150"/>
  </cacheSource>
  <cacheFields count="12">
    <cacheField name="Emp Code" numFmtId="0">
      <sharedItems/>
    </cacheField>
    <cacheField name="Sales Executive" numFmtId="0">
      <sharedItems count="7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Priya Patil"/>
        <s v="Rahul Sharma"/>
        <s v="Sneha Deshmukh"/>
        <s v="Amit Kulkarni"/>
        <s v="Neha Joshi"/>
        <s v="Rohit Singh"/>
        <s v="Pooja More"/>
        <s v="Vikas Pawar"/>
        <s v="Kavita Jadhav"/>
        <s v="Sanjay Gupta"/>
        <s v="Anjali Verma"/>
        <s v="Karan Mehta"/>
        <s v="Meena Yadav"/>
        <s v="Deepak Shinde"/>
        <s v="Riya Kapoor"/>
        <s v="Manoj Chavan"/>
        <s v="Asha Mishra"/>
        <s v="Nikhil Rao"/>
        <s v="Komal Saini"/>
        <s v="Suresh Nair"/>
        <s v="Divya Shah"/>
        <s v="Akash Bansal"/>
        <s v="Payal Thakur"/>
        <s v="Varun Jain"/>
        <s v="Swati Reddy"/>
        <s v="Prakash Gaikwad"/>
        <s v="Nisha Khan"/>
        <s v="Sachin Soni"/>
        <s v="Rekha Kumari"/>
        <s v="Ajay Mishra"/>
        <s v="Monika Pawar"/>
        <s v="Harish Patel"/>
        <s v="Isha Malhotra"/>
        <s v="Gaurav Das"/>
        <s v="Seema Roy"/>
        <s v="Ramesh Pillai"/>
        <s v="Tanvi Kulkarni"/>
        <s v="Abhishek Jain"/>
        <s v="Madhuri Sawant"/>
        <s v="Yogesh More"/>
        <s v="Farhan Ali"/>
        <s v="Kiran Shetty"/>
        <s v="Preeti Sharma"/>
        <s v="Rakesh Yadav"/>
        <s v="Shweta Nair"/>
        <s v="Mahesh Patil"/>
        <s v="Aarti Gupta"/>
        <s v="Nitin Joshi"/>
        <s v="Simran Kaur"/>
        <s v="Omkar Desai"/>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0"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8" maxValue="408"/>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9599999999999999" maxValue="0.81599999999999995"/>
    </cacheField>
    <cacheField name="Away From Target %" numFmtId="10">
      <sharedItems containsSemiMixedTypes="0" containsString="0" containsNumber="1" minValue="0.18400000000000005" maxValue="0.70399999999999996"/>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50">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1"/>
    <n v="13"/>
    <n v="45"/>
    <n v="41"/>
    <n v="38"/>
    <n v="27"/>
    <n v="164"/>
    <n v="500"/>
    <n v="0.32800000000000001"/>
    <n v="0.67199999999999993"/>
  </r>
  <r>
    <s v="Mum-TCL023"/>
    <x v="22"/>
    <x v="1"/>
    <n v="96"/>
    <n v="79"/>
    <n v="21"/>
    <n v="85"/>
    <n v="64"/>
    <n v="345"/>
    <n v="500"/>
    <n v="0.69"/>
    <n v="0.31000000000000005"/>
  </r>
  <r>
    <s v="Mum-TCL024"/>
    <x v="23"/>
    <x v="0"/>
    <n v="13"/>
    <n v="21"/>
    <n v="37"/>
    <n v="39"/>
    <n v="74"/>
    <n v="184"/>
    <n v="500"/>
    <n v="0.36799999999999999"/>
    <n v="0.63200000000000001"/>
  </r>
  <r>
    <s v="Mum-TCL025"/>
    <x v="24"/>
    <x v="0"/>
    <n v="81"/>
    <n v="35"/>
    <n v="93"/>
    <n v="99"/>
    <n v="79"/>
    <n v="387"/>
    <n v="500"/>
    <n v="0.77400000000000002"/>
    <n v="0.22599999999999998"/>
  </r>
  <r>
    <s v="Mum-TCL026"/>
    <x v="25"/>
    <x v="6"/>
    <n v="38"/>
    <n v="67"/>
    <n v="85"/>
    <n v="45"/>
    <n v="10"/>
    <n v="245"/>
    <n v="500"/>
    <n v="0.49"/>
    <n v="0.51"/>
  </r>
  <r>
    <s v="Mum-TCL027"/>
    <x v="26"/>
    <x v="2"/>
    <n v="99"/>
    <n v="64"/>
    <n v="53"/>
    <n v="45"/>
    <n v="29"/>
    <n v="290"/>
    <n v="500"/>
    <n v="0.57999999999999996"/>
    <n v="0.42000000000000004"/>
  </r>
  <r>
    <s v="Mum-TCL028"/>
    <x v="27"/>
    <x v="3"/>
    <n v="53"/>
    <n v="23"/>
    <n v="21"/>
    <n v="58"/>
    <n v="22"/>
    <n v="177"/>
    <n v="500"/>
    <n v="0.35399999999999998"/>
    <n v="0.64600000000000002"/>
  </r>
  <r>
    <s v="Mum-TCL029"/>
    <x v="28"/>
    <x v="5"/>
    <n v="54"/>
    <n v="87"/>
    <n v="43"/>
    <n v="15"/>
    <n v="68"/>
    <n v="267"/>
    <n v="500"/>
    <n v="0.53400000000000003"/>
    <n v="0.46599999999999997"/>
  </r>
  <r>
    <s v="Mum-TCL030"/>
    <x v="29"/>
    <x v="1"/>
    <n v="58"/>
    <n v="20"/>
    <n v="80"/>
    <n v="47"/>
    <n v="90"/>
    <n v="295"/>
    <n v="500"/>
    <n v="0.59"/>
    <n v="0.41000000000000003"/>
  </r>
  <r>
    <s v="Mum-TCL031"/>
    <x v="30"/>
    <x v="5"/>
    <n v="83"/>
    <n v="34"/>
    <n v="18"/>
    <n v="15"/>
    <n v="94"/>
    <n v="244"/>
    <n v="500"/>
    <n v="0.48799999999999999"/>
    <n v="0.51200000000000001"/>
  </r>
  <r>
    <s v="Mum-TCL032"/>
    <x v="31"/>
    <x v="3"/>
    <n v="47"/>
    <n v="20"/>
    <n v="39"/>
    <n v="22"/>
    <n v="58"/>
    <n v="186"/>
    <n v="500"/>
    <n v="0.372"/>
    <n v="0.628"/>
  </r>
  <r>
    <s v="Mum-TCL033"/>
    <x v="32"/>
    <x v="4"/>
    <n v="68"/>
    <n v="91"/>
    <n v="56"/>
    <n v="30"/>
    <n v="57"/>
    <n v="302"/>
    <n v="500"/>
    <n v="0.60399999999999998"/>
    <n v="0.39600000000000002"/>
  </r>
  <r>
    <s v="Mum-TCL034"/>
    <x v="33"/>
    <x v="5"/>
    <n v="36"/>
    <n v="95"/>
    <n v="44"/>
    <n v="99"/>
    <n v="97"/>
    <n v="371"/>
    <n v="500"/>
    <n v="0.74199999999999999"/>
    <n v="0.25800000000000001"/>
  </r>
  <r>
    <s v="Mum-TCL035"/>
    <x v="34"/>
    <x v="1"/>
    <n v="87"/>
    <n v="91"/>
    <n v="31"/>
    <n v="78"/>
    <n v="41"/>
    <n v="328"/>
    <n v="500"/>
    <n v="0.65600000000000003"/>
    <n v="0.34399999999999997"/>
  </r>
  <r>
    <s v="Mum-TCL036"/>
    <x v="35"/>
    <x v="2"/>
    <n v="69"/>
    <n v="58"/>
    <n v="44"/>
    <n v="91"/>
    <n v="98"/>
    <n v="360"/>
    <n v="500"/>
    <n v="0.72"/>
    <n v="0.28000000000000003"/>
  </r>
  <r>
    <s v="Mum-TCL037"/>
    <x v="36"/>
    <x v="3"/>
    <n v="97"/>
    <n v="51"/>
    <n v="17"/>
    <n v="39"/>
    <n v="14"/>
    <n v="218"/>
    <n v="500"/>
    <n v="0.436"/>
    <n v="0.56400000000000006"/>
  </r>
  <r>
    <s v="Mum-TCL038"/>
    <x v="37"/>
    <x v="5"/>
    <n v="61"/>
    <n v="44"/>
    <n v="18"/>
    <n v="37"/>
    <n v="82"/>
    <n v="242"/>
    <n v="500"/>
    <n v="0.48399999999999999"/>
    <n v="0.51600000000000001"/>
  </r>
  <r>
    <s v="Mum-TCL039"/>
    <x v="38"/>
    <x v="5"/>
    <n v="37"/>
    <n v="93"/>
    <n v="73"/>
    <n v="60"/>
    <n v="92"/>
    <n v="355"/>
    <n v="500"/>
    <n v="0.71"/>
    <n v="0.29000000000000004"/>
  </r>
  <r>
    <s v="Mum-TCL040"/>
    <x v="39"/>
    <x v="7"/>
    <n v="28"/>
    <n v="43"/>
    <n v="27"/>
    <n v="41"/>
    <n v="81"/>
    <n v="220"/>
    <n v="500"/>
    <n v="0.44"/>
    <n v="0.56000000000000005"/>
  </r>
  <r>
    <s v="Mum-TCL041"/>
    <x v="40"/>
    <x v="4"/>
    <n v="84"/>
    <n v="64"/>
    <n v="84"/>
    <n v="61"/>
    <n v="56"/>
    <n v="349"/>
    <n v="500"/>
    <n v="0.69799999999999995"/>
    <n v="0.30200000000000005"/>
  </r>
  <r>
    <s v="Mum-TCL042"/>
    <x v="41"/>
    <x v="3"/>
    <n v="27"/>
    <n v="75"/>
    <n v="73"/>
    <n v="21"/>
    <n v="16"/>
    <n v="212"/>
    <n v="500"/>
    <n v="0.42399999999999999"/>
    <n v="0.57600000000000007"/>
  </r>
  <r>
    <s v="Mum-TCL043"/>
    <x v="42"/>
    <x v="1"/>
    <n v="29"/>
    <n v="90"/>
    <n v="30"/>
    <n v="97"/>
    <n v="64"/>
    <n v="310"/>
    <n v="500"/>
    <n v="0.62"/>
    <n v="0.38"/>
  </r>
  <r>
    <s v="Mum-TCL044"/>
    <x v="43"/>
    <x v="1"/>
    <n v="59"/>
    <n v="58"/>
    <n v="86"/>
    <n v="69"/>
    <n v="77"/>
    <n v="349"/>
    <n v="500"/>
    <n v="0.69799999999999995"/>
    <n v="0.30200000000000005"/>
  </r>
  <r>
    <s v="Mum-TCL045"/>
    <x v="44"/>
    <x v="4"/>
    <n v="80"/>
    <n v="11"/>
    <n v="97"/>
    <n v="24"/>
    <n v="97"/>
    <n v="309"/>
    <n v="500"/>
    <n v="0.61799999999999999"/>
    <n v="0.38200000000000001"/>
  </r>
  <r>
    <s v="Mum-TCL046"/>
    <x v="45"/>
    <x v="4"/>
    <n v="92"/>
    <n v="53"/>
    <n v="24"/>
    <n v="47"/>
    <n v="65"/>
    <n v="281"/>
    <n v="500"/>
    <n v="0.56200000000000006"/>
    <n v="0.43799999999999994"/>
  </r>
  <r>
    <s v="Mum-TCL047"/>
    <x v="46"/>
    <x v="2"/>
    <n v="68"/>
    <n v="10"/>
    <n v="43"/>
    <n v="74"/>
    <n v="32"/>
    <n v="227"/>
    <n v="500"/>
    <n v="0.45400000000000001"/>
    <n v="0.54600000000000004"/>
  </r>
  <r>
    <s v="Mum-TCL048"/>
    <x v="47"/>
    <x v="1"/>
    <n v="90"/>
    <n v="48"/>
    <n v="91"/>
    <n v="74"/>
    <n v="87"/>
    <n v="390"/>
    <n v="500"/>
    <n v="0.78"/>
    <n v="0.21999999999999997"/>
  </r>
  <r>
    <s v="Mum-TCL049"/>
    <x v="48"/>
    <x v="3"/>
    <n v="29"/>
    <n v="57"/>
    <n v="30"/>
    <n v="79"/>
    <n v="77"/>
    <n v="272"/>
    <n v="500"/>
    <n v="0.54400000000000004"/>
    <n v="0.45599999999999996"/>
  </r>
  <r>
    <s v="Mum-TCL050"/>
    <x v="49"/>
    <x v="0"/>
    <n v="86"/>
    <n v="51"/>
    <n v="72"/>
    <n v="12"/>
    <n v="24"/>
    <n v="245"/>
    <n v="500"/>
    <n v="0.49"/>
    <n v="0.51"/>
  </r>
  <r>
    <s v="Mum-TCL051"/>
    <x v="50"/>
    <x v="5"/>
    <n v="49"/>
    <n v="40"/>
    <n v="17"/>
    <n v="40"/>
    <n v="82"/>
    <n v="228"/>
    <n v="500"/>
    <n v="0.45600000000000002"/>
    <n v="0.54400000000000004"/>
  </r>
  <r>
    <s v="Mum-TCL052"/>
    <x v="51"/>
    <x v="1"/>
    <n v="20"/>
    <n v="72"/>
    <n v="18"/>
    <n v="78"/>
    <n v="26"/>
    <n v="214"/>
    <n v="500"/>
    <n v="0.42799999999999999"/>
    <n v="0.57200000000000006"/>
  </r>
  <r>
    <s v="Mum-TCL053"/>
    <x v="52"/>
    <x v="2"/>
    <n v="94"/>
    <n v="70"/>
    <n v="80"/>
    <n v="31"/>
    <n v="43"/>
    <n v="318"/>
    <n v="500"/>
    <n v="0.63600000000000001"/>
    <n v="0.36399999999999999"/>
  </r>
  <r>
    <s v="Mum-TCL054"/>
    <x v="53"/>
    <x v="6"/>
    <n v="37"/>
    <n v="79"/>
    <n v="98"/>
    <n v="35"/>
    <n v="49"/>
    <n v="298"/>
    <n v="500"/>
    <n v="0.59599999999999997"/>
    <n v="0.40400000000000003"/>
  </r>
  <r>
    <s v="Mum-TCL055"/>
    <x v="54"/>
    <x v="6"/>
    <n v="95"/>
    <n v="93"/>
    <n v="57"/>
    <n v="66"/>
    <n v="76"/>
    <n v="387"/>
    <n v="500"/>
    <n v="0.77400000000000002"/>
    <n v="0.22599999999999998"/>
  </r>
  <r>
    <s v="Mum-TCL056"/>
    <x v="55"/>
    <x v="7"/>
    <n v="25"/>
    <n v="41"/>
    <n v="38"/>
    <n v="18"/>
    <n v="53"/>
    <n v="175"/>
    <n v="500"/>
    <n v="0.35"/>
    <n v="0.65"/>
  </r>
  <r>
    <s v="Mum-TCL057"/>
    <x v="56"/>
    <x v="0"/>
    <n v="85"/>
    <n v="80"/>
    <n v="39"/>
    <n v="85"/>
    <n v="38"/>
    <n v="327"/>
    <n v="500"/>
    <n v="0.65400000000000003"/>
    <n v="0.34599999999999997"/>
  </r>
  <r>
    <s v="Mum-TCL058"/>
    <x v="57"/>
    <x v="0"/>
    <n v="19"/>
    <n v="90"/>
    <n v="17"/>
    <n v="39"/>
    <n v="18"/>
    <n v="183"/>
    <n v="500"/>
    <n v="0.36599999999999999"/>
    <n v="0.63400000000000001"/>
  </r>
  <r>
    <s v="Mum-TCL059"/>
    <x v="58"/>
    <x v="0"/>
    <n v="52"/>
    <n v="19"/>
    <n v="75"/>
    <n v="40"/>
    <n v="45"/>
    <n v="231"/>
    <n v="500"/>
    <n v="0.46200000000000002"/>
    <n v="0.53800000000000003"/>
  </r>
  <r>
    <s v="Mum-TCL060"/>
    <x v="59"/>
    <x v="7"/>
    <n v="37"/>
    <n v="79"/>
    <n v="26"/>
    <n v="83"/>
    <n v="83"/>
    <n v="308"/>
    <n v="500"/>
    <n v="0.61599999999999999"/>
    <n v="0.38400000000000001"/>
  </r>
  <r>
    <s v="Mum-TCL061"/>
    <x v="60"/>
    <x v="7"/>
    <n v="41"/>
    <n v="70"/>
    <n v="62"/>
    <n v="34"/>
    <n v="22"/>
    <n v="229"/>
    <n v="500"/>
    <n v="0.45800000000000002"/>
    <n v="0.54200000000000004"/>
  </r>
  <r>
    <s v="Mum-TCL062"/>
    <x v="61"/>
    <x v="1"/>
    <n v="94"/>
    <n v="65"/>
    <n v="55"/>
    <n v="64"/>
    <n v="62"/>
    <n v="340"/>
    <n v="500"/>
    <n v="0.68"/>
    <n v="0.31999999999999995"/>
  </r>
  <r>
    <s v="Mum-TCL063"/>
    <x v="62"/>
    <x v="7"/>
    <n v="16"/>
    <n v="96"/>
    <n v="93"/>
    <n v="92"/>
    <n v="22"/>
    <n v="319"/>
    <n v="500"/>
    <n v="0.63800000000000001"/>
    <n v="0.36199999999999999"/>
  </r>
  <r>
    <s v="Mum-TCL064"/>
    <x v="63"/>
    <x v="0"/>
    <n v="61"/>
    <n v="53"/>
    <n v="23"/>
    <n v="41"/>
    <n v="34"/>
    <n v="212"/>
    <n v="500"/>
    <n v="0.42399999999999999"/>
    <n v="0.57600000000000007"/>
  </r>
  <r>
    <s v="Mum-TCL065"/>
    <x v="64"/>
    <x v="3"/>
    <n v="78"/>
    <n v="67"/>
    <n v="27"/>
    <n v="64"/>
    <n v="33"/>
    <n v="269"/>
    <n v="500"/>
    <n v="0.53800000000000003"/>
    <n v="0.46199999999999997"/>
  </r>
  <r>
    <s v="Mum-TCL066"/>
    <x v="65"/>
    <x v="4"/>
    <n v="69"/>
    <n v="41"/>
    <n v="19"/>
    <n v="66"/>
    <n v="80"/>
    <n v="275"/>
    <n v="500"/>
    <n v="0.55000000000000004"/>
    <n v="0.44999999999999996"/>
  </r>
  <r>
    <s v="Mum-TCL067"/>
    <x v="66"/>
    <x v="1"/>
    <n v="16"/>
    <n v="93"/>
    <n v="79"/>
    <n v="11"/>
    <n v="21"/>
    <n v="220"/>
    <n v="500"/>
    <n v="0.44"/>
    <n v="0.56000000000000005"/>
  </r>
  <r>
    <s v="Mum-TCL068"/>
    <x v="67"/>
    <x v="3"/>
    <n v="31"/>
    <n v="62"/>
    <n v="72"/>
    <n v="71"/>
    <n v="37"/>
    <n v="273"/>
    <n v="500"/>
    <n v="0.54600000000000004"/>
    <n v="0.45399999999999996"/>
  </r>
  <r>
    <s v="Mum-TCL069"/>
    <x v="68"/>
    <x v="6"/>
    <n v="17"/>
    <n v="31"/>
    <n v="58"/>
    <n v="10"/>
    <n v="59"/>
    <n v="175"/>
    <n v="500"/>
    <n v="0.35"/>
    <n v="0.65"/>
  </r>
  <r>
    <s v="Mum-TCL070"/>
    <x v="69"/>
    <x v="4"/>
    <n v="68"/>
    <n v="46"/>
    <n v="64"/>
    <n v="99"/>
    <n v="81"/>
    <n v="358"/>
    <n v="500"/>
    <n v="0.71599999999999997"/>
    <n v="0.28400000000000003"/>
  </r>
  <r>
    <s v="Mum-TCL071"/>
    <x v="70"/>
    <x v="7"/>
    <n v="29"/>
    <n v="34"/>
    <n v="47"/>
    <n v="37"/>
    <n v="17"/>
    <n v="164"/>
    <n v="500"/>
    <n v="0.32800000000000001"/>
    <n v="0.67199999999999993"/>
  </r>
  <r>
    <s v="Mum-TCL072"/>
    <x v="21"/>
    <x v="0"/>
    <n v="50"/>
    <n v="17"/>
    <n v="16"/>
    <n v="84"/>
    <n v="71"/>
    <n v="238"/>
    <n v="500"/>
    <n v="0.47599999999999998"/>
    <n v="0.52400000000000002"/>
  </r>
  <r>
    <s v="Mum-TCL073"/>
    <x v="22"/>
    <x v="2"/>
    <n v="17"/>
    <n v="75"/>
    <n v="20"/>
    <n v="33"/>
    <n v="18"/>
    <n v="163"/>
    <n v="500"/>
    <n v="0.32600000000000001"/>
    <n v="0.67399999999999993"/>
  </r>
  <r>
    <s v="Mum-TCL074"/>
    <x v="23"/>
    <x v="1"/>
    <n v="96"/>
    <n v="40"/>
    <n v="61"/>
    <n v="25"/>
    <n v="82"/>
    <n v="304"/>
    <n v="500"/>
    <n v="0.60799999999999998"/>
    <n v="0.39200000000000002"/>
  </r>
  <r>
    <s v="Mum-TCL075"/>
    <x v="24"/>
    <x v="3"/>
    <n v="84"/>
    <n v="86"/>
    <n v="15"/>
    <n v="89"/>
    <n v="20"/>
    <n v="294"/>
    <n v="500"/>
    <n v="0.58799999999999997"/>
    <n v="0.41200000000000003"/>
  </r>
  <r>
    <s v="Mum-TCL076"/>
    <x v="25"/>
    <x v="6"/>
    <n v="94"/>
    <n v="84"/>
    <n v="82"/>
    <n v="76"/>
    <n v="50"/>
    <n v="386"/>
    <n v="500"/>
    <n v="0.77200000000000002"/>
    <n v="0.22799999999999998"/>
  </r>
  <r>
    <s v="Mum-TCL077"/>
    <x v="26"/>
    <x v="4"/>
    <n v="36"/>
    <n v="95"/>
    <n v="50"/>
    <n v="40"/>
    <n v="43"/>
    <n v="264"/>
    <n v="500"/>
    <n v="0.52800000000000002"/>
    <n v="0.47199999999999998"/>
  </r>
  <r>
    <s v="Mum-TCL078"/>
    <x v="27"/>
    <x v="6"/>
    <n v="26"/>
    <n v="95"/>
    <n v="92"/>
    <n v="48"/>
    <n v="68"/>
    <n v="329"/>
    <n v="500"/>
    <n v="0.65800000000000003"/>
    <n v="0.34199999999999997"/>
  </r>
  <r>
    <s v="Mum-TCL079"/>
    <x v="28"/>
    <x v="5"/>
    <n v="19"/>
    <n v="11"/>
    <n v="68"/>
    <n v="89"/>
    <n v="82"/>
    <n v="269"/>
    <n v="500"/>
    <n v="0.53800000000000003"/>
    <n v="0.46199999999999997"/>
  </r>
  <r>
    <s v="Mum-TCL080"/>
    <x v="29"/>
    <x v="1"/>
    <n v="19"/>
    <n v="78"/>
    <n v="37"/>
    <n v="74"/>
    <n v="43"/>
    <n v="251"/>
    <n v="500"/>
    <n v="0.502"/>
    <n v="0.498"/>
  </r>
  <r>
    <s v="Mum-TCL081"/>
    <x v="30"/>
    <x v="2"/>
    <n v="54"/>
    <n v="18"/>
    <n v="41"/>
    <n v="57"/>
    <n v="46"/>
    <n v="216"/>
    <n v="500"/>
    <n v="0.432"/>
    <n v="0.56800000000000006"/>
  </r>
  <r>
    <s v="Mum-TCL082"/>
    <x v="31"/>
    <x v="2"/>
    <n v="66"/>
    <n v="79"/>
    <n v="48"/>
    <n v="88"/>
    <n v="93"/>
    <n v="374"/>
    <n v="500"/>
    <n v="0.748"/>
    <n v="0.252"/>
  </r>
  <r>
    <s v="Mum-TCL083"/>
    <x v="32"/>
    <x v="0"/>
    <n v="95"/>
    <n v="80"/>
    <n v="48"/>
    <n v="94"/>
    <n v="23"/>
    <n v="340"/>
    <n v="500"/>
    <n v="0.68"/>
    <n v="0.31999999999999995"/>
  </r>
  <r>
    <s v="Mum-TCL084"/>
    <x v="33"/>
    <x v="2"/>
    <n v="43"/>
    <n v="24"/>
    <n v="23"/>
    <n v="80"/>
    <n v="29"/>
    <n v="199"/>
    <n v="500"/>
    <n v="0.39800000000000002"/>
    <n v="0.60199999999999998"/>
  </r>
  <r>
    <s v="Mum-TCL085"/>
    <x v="34"/>
    <x v="4"/>
    <n v="46"/>
    <n v="87"/>
    <n v="36"/>
    <n v="53"/>
    <n v="36"/>
    <n v="258"/>
    <n v="500"/>
    <n v="0.51600000000000001"/>
    <n v="0.48399999999999999"/>
  </r>
  <r>
    <s v="Mum-TCL086"/>
    <x v="35"/>
    <x v="4"/>
    <n v="74"/>
    <n v="72"/>
    <n v="42"/>
    <n v="16"/>
    <n v="21"/>
    <n v="225"/>
    <n v="500"/>
    <n v="0.45"/>
    <n v="0.55000000000000004"/>
  </r>
  <r>
    <s v="Mum-TCL087"/>
    <x v="36"/>
    <x v="6"/>
    <n v="45"/>
    <n v="15"/>
    <n v="10"/>
    <n v="52"/>
    <n v="26"/>
    <n v="148"/>
    <n v="500"/>
    <n v="0.29599999999999999"/>
    <n v="0.70399999999999996"/>
  </r>
  <r>
    <s v="Mum-TCL088"/>
    <x v="37"/>
    <x v="4"/>
    <n v="30"/>
    <n v="66"/>
    <n v="80"/>
    <n v="64"/>
    <n v="81"/>
    <n v="321"/>
    <n v="500"/>
    <n v="0.64200000000000002"/>
    <n v="0.35799999999999998"/>
  </r>
  <r>
    <s v="Mum-TCL089"/>
    <x v="38"/>
    <x v="0"/>
    <n v="24"/>
    <n v="19"/>
    <n v="98"/>
    <n v="29"/>
    <n v="79"/>
    <n v="249"/>
    <n v="500"/>
    <n v="0.498"/>
    <n v="0.502"/>
  </r>
  <r>
    <s v="Mum-TCL090"/>
    <x v="39"/>
    <x v="0"/>
    <n v="57"/>
    <n v="84"/>
    <n v="80"/>
    <n v="28"/>
    <n v="65"/>
    <n v="314"/>
    <n v="500"/>
    <n v="0.628"/>
    <n v="0.372"/>
  </r>
  <r>
    <s v="Mum-TCL091"/>
    <x v="40"/>
    <x v="2"/>
    <n v="15"/>
    <n v="49"/>
    <n v="56"/>
    <n v="15"/>
    <n v="55"/>
    <n v="190"/>
    <n v="500"/>
    <n v="0.38"/>
    <n v="0.62"/>
  </r>
  <r>
    <s v="Mum-TCL092"/>
    <x v="41"/>
    <x v="3"/>
    <n v="97"/>
    <n v="41"/>
    <n v="95"/>
    <n v="23"/>
    <n v="55"/>
    <n v="311"/>
    <n v="500"/>
    <n v="0.622"/>
    <n v="0.378"/>
  </r>
  <r>
    <s v="Mum-TCL093"/>
    <x v="42"/>
    <x v="6"/>
    <n v="89"/>
    <n v="29"/>
    <n v="40"/>
    <n v="30"/>
    <n v="32"/>
    <n v="220"/>
    <n v="500"/>
    <n v="0.44"/>
    <n v="0.56000000000000005"/>
  </r>
  <r>
    <s v="Mum-TCL094"/>
    <x v="43"/>
    <x v="6"/>
    <n v="13"/>
    <n v="32"/>
    <n v="52"/>
    <n v="62"/>
    <n v="95"/>
    <n v="254"/>
    <n v="500"/>
    <n v="0.50800000000000001"/>
    <n v="0.49199999999999999"/>
  </r>
  <r>
    <s v="Mum-TCL095"/>
    <x v="44"/>
    <x v="3"/>
    <n v="44"/>
    <n v="30"/>
    <n v="99"/>
    <n v="23"/>
    <n v="58"/>
    <n v="254"/>
    <n v="500"/>
    <n v="0.50800000000000001"/>
    <n v="0.49199999999999999"/>
  </r>
  <r>
    <s v="Mum-TCL096"/>
    <x v="45"/>
    <x v="0"/>
    <n v="70"/>
    <n v="38"/>
    <n v="35"/>
    <n v="68"/>
    <n v="54"/>
    <n v="265"/>
    <n v="500"/>
    <n v="0.53"/>
    <n v="0.47"/>
  </r>
  <r>
    <s v="Mum-TCL097"/>
    <x v="46"/>
    <x v="4"/>
    <n v="39"/>
    <n v="38"/>
    <n v="13"/>
    <n v="94"/>
    <n v="34"/>
    <n v="218"/>
    <n v="500"/>
    <n v="0.436"/>
    <n v="0.56400000000000006"/>
  </r>
  <r>
    <s v="Mum-TCL098"/>
    <x v="47"/>
    <x v="6"/>
    <n v="52"/>
    <n v="45"/>
    <n v="18"/>
    <n v="45"/>
    <n v="54"/>
    <n v="214"/>
    <n v="500"/>
    <n v="0.42799999999999999"/>
    <n v="0.57200000000000006"/>
  </r>
  <r>
    <s v="Mum-TCL099"/>
    <x v="48"/>
    <x v="6"/>
    <n v="96"/>
    <n v="78"/>
    <n v="52"/>
    <n v="13"/>
    <n v="24"/>
    <n v="263"/>
    <n v="500"/>
    <n v="0.52600000000000002"/>
    <n v="0.47399999999999998"/>
  </r>
  <r>
    <s v="Mum-TCL100"/>
    <x v="49"/>
    <x v="4"/>
    <n v="32"/>
    <n v="84"/>
    <n v="43"/>
    <n v="14"/>
    <n v="23"/>
    <n v="196"/>
    <n v="500"/>
    <n v="0.39200000000000002"/>
    <n v="0.60799999999999998"/>
  </r>
  <r>
    <s v="Mum-TCL101"/>
    <x v="50"/>
    <x v="6"/>
    <n v="54"/>
    <n v="50"/>
    <n v="65"/>
    <n v="87"/>
    <n v="75"/>
    <n v="331"/>
    <n v="500"/>
    <n v="0.66200000000000003"/>
    <n v="0.33799999999999997"/>
  </r>
  <r>
    <s v="Mum-TCL102"/>
    <x v="51"/>
    <x v="1"/>
    <n v="59"/>
    <n v="83"/>
    <n v="34"/>
    <n v="42"/>
    <n v="15"/>
    <n v="233"/>
    <n v="500"/>
    <n v="0.46600000000000003"/>
    <n v="0.53400000000000003"/>
  </r>
  <r>
    <s v="Mum-TCL103"/>
    <x v="52"/>
    <x v="6"/>
    <n v="10"/>
    <n v="76"/>
    <n v="78"/>
    <n v="97"/>
    <n v="95"/>
    <n v="356"/>
    <n v="500"/>
    <n v="0.71199999999999997"/>
    <n v="0.28800000000000003"/>
  </r>
  <r>
    <s v="Mum-TCL104"/>
    <x v="53"/>
    <x v="3"/>
    <n v="56"/>
    <n v="65"/>
    <n v="18"/>
    <n v="95"/>
    <n v="52"/>
    <n v="286"/>
    <n v="500"/>
    <n v="0.57199999999999995"/>
    <n v="0.42800000000000005"/>
  </r>
  <r>
    <s v="Mum-TCL105"/>
    <x v="54"/>
    <x v="5"/>
    <n v="94"/>
    <n v="25"/>
    <n v="48"/>
    <n v="74"/>
    <n v="49"/>
    <n v="290"/>
    <n v="500"/>
    <n v="0.57999999999999996"/>
    <n v="0.42000000000000004"/>
  </r>
  <r>
    <s v="Mum-TCL106"/>
    <x v="55"/>
    <x v="6"/>
    <n v="51"/>
    <n v="61"/>
    <n v="99"/>
    <n v="47"/>
    <n v="80"/>
    <n v="338"/>
    <n v="500"/>
    <n v="0.67600000000000005"/>
    <n v="0.32399999999999995"/>
  </r>
  <r>
    <s v="Mum-TCL107"/>
    <x v="56"/>
    <x v="2"/>
    <n v="34"/>
    <n v="63"/>
    <n v="95"/>
    <n v="58"/>
    <n v="96"/>
    <n v="346"/>
    <n v="500"/>
    <n v="0.69199999999999995"/>
    <n v="0.30800000000000005"/>
  </r>
  <r>
    <s v="Mum-TCL108"/>
    <x v="57"/>
    <x v="2"/>
    <n v="88"/>
    <n v="82"/>
    <n v="48"/>
    <n v="61"/>
    <n v="80"/>
    <n v="359"/>
    <n v="500"/>
    <n v="0.71799999999999997"/>
    <n v="0.28200000000000003"/>
  </r>
  <r>
    <s v="Mum-TCL109"/>
    <x v="58"/>
    <x v="0"/>
    <n v="48"/>
    <n v="46"/>
    <n v="36"/>
    <n v="65"/>
    <n v="84"/>
    <n v="279"/>
    <n v="500"/>
    <n v="0.55800000000000005"/>
    <n v="0.44199999999999995"/>
  </r>
  <r>
    <s v="Mum-TCL110"/>
    <x v="59"/>
    <x v="5"/>
    <n v="69"/>
    <n v="66"/>
    <n v="66"/>
    <n v="96"/>
    <n v="37"/>
    <n v="334"/>
    <n v="500"/>
    <n v="0.66800000000000004"/>
    <n v="0.33199999999999996"/>
  </r>
  <r>
    <s v="Mum-TCL111"/>
    <x v="60"/>
    <x v="7"/>
    <n v="31"/>
    <n v="94"/>
    <n v="20"/>
    <n v="46"/>
    <n v="75"/>
    <n v="266"/>
    <n v="500"/>
    <n v="0.53200000000000003"/>
    <n v="0.46799999999999997"/>
  </r>
  <r>
    <s v="Mum-TCL112"/>
    <x v="61"/>
    <x v="5"/>
    <n v="21"/>
    <n v="40"/>
    <n v="96"/>
    <n v="49"/>
    <n v="38"/>
    <n v="244"/>
    <n v="500"/>
    <n v="0.48799999999999999"/>
    <n v="0.51200000000000001"/>
  </r>
  <r>
    <s v="Mum-TCL113"/>
    <x v="62"/>
    <x v="3"/>
    <n v="28"/>
    <n v="13"/>
    <n v="15"/>
    <n v="41"/>
    <n v="70"/>
    <n v="167"/>
    <n v="500"/>
    <n v="0.33400000000000002"/>
    <n v="0.66599999999999993"/>
  </r>
  <r>
    <s v="Mum-TCL114"/>
    <x v="63"/>
    <x v="1"/>
    <n v="68"/>
    <n v="63"/>
    <n v="90"/>
    <n v="83"/>
    <n v="34"/>
    <n v="338"/>
    <n v="500"/>
    <n v="0.67600000000000005"/>
    <n v="0.32399999999999995"/>
  </r>
  <r>
    <s v="Mum-TCL115"/>
    <x v="64"/>
    <x v="6"/>
    <n v="73"/>
    <n v="61"/>
    <n v="41"/>
    <n v="28"/>
    <n v="93"/>
    <n v="296"/>
    <n v="500"/>
    <n v="0.59199999999999997"/>
    <n v="0.40800000000000003"/>
  </r>
  <r>
    <s v="Mum-TCL116"/>
    <x v="65"/>
    <x v="0"/>
    <n v="23"/>
    <n v="64"/>
    <n v="38"/>
    <n v="32"/>
    <n v="99"/>
    <n v="256"/>
    <n v="500"/>
    <n v="0.51200000000000001"/>
    <n v="0.48799999999999999"/>
  </r>
  <r>
    <s v="Mum-TCL117"/>
    <x v="66"/>
    <x v="7"/>
    <n v="16"/>
    <n v="81"/>
    <n v="41"/>
    <n v="25"/>
    <n v="68"/>
    <n v="231"/>
    <n v="500"/>
    <n v="0.46200000000000002"/>
    <n v="0.53800000000000003"/>
  </r>
  <r>
    <s v="Mum-TCL118"/>
    <x v="67"/>
    <x v="2"/>
    <n v="69"/>
    <n v="95"/>
    <n v="77"/>
    <n v="81"/>
    <n v="86"/>
    <n v="408"/>
    <n v="500"/>
    <n v="0.81599999999999995"/>
    <n v="0.18400000000000005"/>
  </r>
  <r>
    <s v="Mum-TCL119"/>
    <x v="68"/>
    <x v="5"/>
    <n v="66"/>
    <n v="88"/>
    <n v="74"/>
    <n v="64"/>
    <n v="80"/>
    <n v="372"/>
    <n v="500"/>
    <n v="0.74399999999999999"/>
    <n v="0.25600000000000001"/>
  </r>
  <r>
    <s v="Mum-TCL120"/>
    <x v="69"/>
    <x v="7"/>
    <n v="30"/>
    <n v="70"/>
    <n v="67"/>
    <n v="43"/>
    <n v="41"/>
    <n v="251"/>
    <n v="500"/>
    <n v="0.502"/>
    <n v="0.498"/>
  </r>
  <r>
    <s v="Mum-TCL121"/>
    <x v="70"/>
    <x v="4"/>
    <n v="76"/>
    <n v="72"/>
    <n v="90"/>
    <n v="40"/>
    <n v="45"/>
    <n v="323"/>
    <n v="500"/>
    <n v="0.64600000000000002"/>
    <n v="0.35399999999999998"/>
  </r>
  <r>
    <s v="Mum-TCL122"/>
    <x v="21"/>
    <x v="7"/>
    <n v="19"/>
    <n v="46"/>
    <n v="40"/>
    <n v="44"/>
    <n v="52"/>
    <n v="201"/>
    <n v="500"/>
    <n v="0.40200000000000002"/>
    <n v="0.59799999999999998"/>
  </r>
  <r>
    <s v="Mum-TCL123"/>
    <x v="22"/>
    <x v="5"/>
    <n v="79"/>
    <n v="20"/>
    <n v="27"/>
    <n v="29"/>
    <n v="39"/>
    <n v="194"/>
    <n v="500"/>
    <n v="0.38800000000000001"/>
    <n v="0.61199999999999999"/>
  </r>
  <r>
    <s v="Mum-TCL124"/>
    <x v="23"/>
    <x v="6"/>
    <n v="98"/>
    <n v="29"/>
    <n v="37"/>
    <n v="18"/>
    <n v="63"/>
    <n v="245"/>
    <n v="500"/>
    <n v="0.49"/>
    <n v="0.51"/>
  </r>
  <r>
    <s v="Mum-TCL125"/>
    <x v="24"/>
    <x v="6"/>
    <n v="52"/>
    <n v="79"/>
    <n v="69"/>
    <n v="63"/>
    <n v="17"/>
    <n v="280"/>
    <n v="500"/>
    <n v="0.56000000000000005"/>
    <n v="0.43999999999999995"/>
  </r>
  <r>
    <s v="Mum-TCL126"/>
    <x v="25"/>
    <x v="3"/>
    <n v="63"/>
    <n v="59"/>
    <n v="84"/>
    <n v="99"/>
    <n v="12"/>
    <n v="317"/>
    <n v="500"/>
    <n v="0.63400000000000001"/>
    <n v="0.36599999999999999"/>
  </r>
  <r>
    <s v="Mum-TCL127"/>
    <x v="26"/>
    <x v="6"/>
    <n v="71"/>
    <n v="10"/>
    <n v="55"/>
    <n v="48"/>
    <n v="59"/>
    <n v="243"/>
    <n v="500"/>
    <n v="0.48599999999999999"/>
    <n v="0.51400000000000001"/>
  </r>
  <r>
    <s v="Mum-TCL128"/>
    <x v="27"/>
    <x v="6"/>
    <n v="78"/>
    <n v="79"/>
    <n v="87"/>
    <n v="38"/>
    <n v="72"/>
    <n v="354"/>
    <n v="500"/>
    <n v="0.70799999999999996"/>
    <n v="0.29200000000000004"/>
  </r>
  <r>
    <s v="Mum-TCL129"/>
    <x v="28"/>
    <x v="3"/>
    <n v="44"/>
    <n v="65"/>
    <n v="72"/>
    <n v="13"/>
    <n v="59"/>
    <n v="253"/>
    <n v="500"/>
    <n v="0.50600000000000001"/>
    <n v="0.49399999999999999"/>
  </r>
  <r>
    <s v="Mum-TCL130"/>
    <x v="29"/>
    <x v="5"/>
    <n v="95"/>
    <n v="96"/>
    <n v="61"/>
    <n v="31"/>
    <n v="69"/>
    <n v="352"/>
    <n v="500"/>
    <n v="0.70399999999999996"/>
    <n v="0.29600000000000004"/>
  </r>
  <r>
    <s v="Mum-TCL131"/>
    <x v="30"/>
    <x v="2"/>
    <n v="89"/>
    <n v="78"/>
    <n v="13"/>
    <n v="60"/>
    <n v="85"/>
    <n v="325"/>
    <n v="500"/>
    <n v="0.65"/>
    <n v="0.35"/>
  </r>
  <r>
    <s v="Mum-TCL132"/>
    <x v="31"/>
    <x v="0"/>
    <n v="20"/>
    <n v="92"/>
    <n v="64"/>
    <n v="27"/>
    <n v="69"/>
    <n v="272"/>
    <n v="500"/>
    <n v="0.54400000000000004"/>
    <n v="0.45599999999999996"/>
  </r>
  <r>
    <s v="Mum-TCL133"/>
    <x v="32"/>
    <x v="2"/>
    <n v="16"/>
    <n v="43"/>
    <n v="58"/>
    <n v="51"/>
    <n v="37"/>
    <n v="205"/>
    <n v="500"/>
    <n v="0.41"/>
    <n v="0.59000000000000008"/>
  </r>
  <r>
    <s v="Mum-TCL134"/>
    <x v="33"/>
    <x v="7"/>
    <n v="51"/>
    <n v="53"/>
    <n v="58"/>
    <n v="45"/>
    <n v="63"/>
    <n v="270"/>
    <n v="500"/>
    <n v="0.54"/>
    <n v="0.45999999999999996"/>
  </r>
  <r>
    <s v="Mum-TCL135"/>
    <x v="34"/>
    <x v="4"/>
    <n v="20"/>
    <n v="70"/>
    <n v="12"/>
    <n v="79"/>
    <n v="16"/>
    <n v="197"/>
    <n v="500"/>
    <n v="0.39400000000000002"/>
    <n v="0.60599999999999998"/>
  </r>
  <r>
    <s v="Mum-TCL136"/>
    <x v="35"/>
    <x v="5"/>
    <n v="38"/>
    <n v="93"/>
    <n v="18"/>
    <n v="93"/>
    <n v="15"/>
    <n v="257"/>
    <n v="500"/>
    <n v="0.51400000000000001"/>
    <n v="0.48599999999999999"/>
  </r>
  <r>
    <s v="Mum-TCL137"/>
    <x v="36"/>
    <x v="0"/>
    <n v="41"/>
    <n v="35"/>
    <n v="12"/>
    <n v="89"/>
    <n v="29"/>
    <n v="206"/>
    <n v="500"/>
    <n v="0.41199999999999998"/>
    <n v="0.58800000000000008"/>
  </r>
  <r>
    <s v="Mum-TCL138"/>
    <x v="37"/>
    <x v="3"/>
    <n v="26"/>
    <n v="70"/>
    <n v="95"/>
    <n v="24"/>
    <n v="82"/>
    <n v="297"/>
    <n v="500"/>
    <n v="0.59399999999999997"/>
    <n v="0.40600000000000003"/>
  </r>
  <r>
    <s v="Mum-TCL139"/>
    <x v="38"/>
    <x v="3"/>
    <n v="69"/>
    <n v="99"/>
    <n v="42"/>
    <n v="57"/>
    <n v="31"/>
    <n v="298"/>
    <n v="500"/>
    <n v="0.59599999999999997"/>
    <n v="0.40400000000000003"/>
  </r>
  <r>
    <s v="Mum-TCL140"/>
    <x v="39"/>
    <x v="1"/>
    <n v="30"/>
    <n v="49"/>
    <n v="23"/>
    <n v="84"/>
    <n v="13"/>
    <n v="199"/>
    <n v="500"/>
    <n v="0.39800000000000002"/>
    <n v="0.60199999999999998"/>
  </r>
  <r>
    <s v="Mum-TCL141"/>
    <x v="40"/>
    <x v="4"/>
    <n v="83"/>
    <n v="96"/>
    <n v="58"/>
    <n v="60"/>
    <n v="35"/>
    <n v="332"/>
    <n v="500"/>
    <n v="0.66400000000000003"/>
    <n v="0.33599999999999997"/>
  </r>
  <r>
    <s v="Mum-TCL142"/>
    <x v="41"/>
    <x v="1"/>
    <n v="85"/>
    <n v="98"/>
    <n v="90"/>
    <n v="41"/>
    <n v="23"/>
    <n v="337"/>
    <n v="500"/>
    <n v="0.67400000000000004"/>
    <n v="0.32599999999999996"/>
  </r>
  <r>
    <s v="Mum-TCL143"/>
    <x v="42"/>
    <x v="4"/>
    <n v="97"/>
    <n v="86"/>
    <n v="25"/>
    <n v="82"/>
    <n v="15"/>
    <n v="305"/>
    <n v="500"/>
    <n v="0.61"/>
    <n v="0.39"/>
  </r>
  <r>
    <s v="Mum-TCL144"/>
    <x v="43"/>
    <x v="5"/>
    <n v="78"/>
    <n v="64"/>
    <n v="94"/>
    <n v="57"/>
    <n v="18"/>
    <n v="311"/>
    <n v="500"/>
    <n v="0.622"/>
    <n v="0.378"/>
  </r>
  <r>
    <s v="Mum-TCL145"/>
    <x v="44"/>
    <x v="5"/>
    <n v="11"/>
    <n v="63"/>
    <n v="72"/>
    <n v="23"/>
    <n v="65"/>
    <n v="234"/>
    <n v="500"/>
    <n v="0.46800000000000003"/>
    <n v="0.53200000000000003"/>
  </r>
  <r>
    <s v="Mum-TCL146"/>
    <x v="45"/>
    <x v="5"/>
    <n v="91"/>
    <n v="68"/>
    <n v="29"/>
    <n v="65"/>
    <n v="32"/>
    <n v="285"/>
    <n v="500"/>
    <n v="0.56999999999999995"/>
    <n v="0.43000000000000005"/>
  </r>
  <r>
    <s v="Mum-TCL147"/>
    <x v="46"/>
    <x v="4"/>
    <n v="88"/>
    <n v="78"/>
    <n v="71"/>
    <n v="69"/>
    <n v="65"/>
    <n v="371"/>
    <n v="500"/>
    <n v="0.74199999999999999"/>
    <n v="0.25800000000000001"/>
  </r>
  <r>
    <s v="Mum-TCL148"/>
    <x v="47"/>
    <x v="4"/>
    <n v="51"/>
    <n v="41"/>
    <n v="21"/>
    <n v="45"/>
    <n v="67"/>
    <n v="225"/>
    <n v="500"/>
    <n v="0.45"/>
    <n v="0.55000000000000004"/>
  </r>
  <r>
    <s v="Mum-TCL149"/>
    <x v="48"/>
    <x v="3"/>
    <n v="69"/>
    <n v="82"/>
    <n v="88"/>
    <n v="95"/>
    <n v="58"/>
    <n v="392"/>
    <n v="500"/>
    <n v="0.78400000000000003"/>
    <n v="0.21599999999999997"/>
  </r>
  <r>
    <s v="Mum-TCL150"/>
    <x v="49"/>
    <x v="5"/>
    <n v="13"/>
    <n v="73"/>
    <n v="51"/>
    <n v="33"/>
    <n v="72"/>
    <n v="242"/>
    <n v="500"/>
    <n v="0.48399999999999999"/>
    <n v="0.51600000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5" rowHeaderCaption="Sales Executive">
  <location ref="J3:K9" firstHeaderRow="1" firstDataRow="1" firstDataCol="1"/>
  <pivotFields count="12">
    <pivotField showAll="0"/>
    <pivotField axis="axisRow" showAll="0" measureFilter="1">
      <items count="72">
        <item x="67"/>
        <item x="58"/>
        <item x="50"/>
        <item x="42"/>
        <item x="24"/>
        <item x="31"/>
        <item x="4"/>
        <item x="2"/>
        <item x="37"/>
        <item x="34"/>
        <item x="41"/>
        <item x="61"/>
        <item x="54"/>
        <item x="52"/>
        <item x="53"/>
        <item x="32"/>
        <item x="29"/>
        <item x="62"/>
        <item x="39"/>
        <item x="59"/>
        <item x="66"/>
        <item x="36"/>
        <item x="33"/>
        <item x="51"/>
        <item x="25"/>
        <item x="38"/>
        <item x="47"/>
        <item x="68"/>
        <item x="70"/>
        <item x="43"/>
        <item x="27"/>
        <item x="46"/>
        <item x="63"/>
        <item x="21"/>
        <item x="22"/>
        <item x="0"/>
        <item x="64"/>
        <item x="56"/>
        <item x="49"/>
        <item x="35"/>
        <item x="26"/>
        <item x="48"/>
        <item x="30"/>
        <item x="55"/>
        <item x="20"/>
        <item x="65"/>
        <item x="19"/>
        <item x="69"/>
        <item x="18"/>
        <item x="23"/>
        <item x="17"/>
        <item x="16"/>
        <item x="15"/>
        <item x="14"/>
        <item x="13"/>
        <item x="12"/>
        <item x="11"/>
        <item x="10"/>
        <item x="40"/>
        <item x="9"/>
        <item x="8"/>
        <item x="45"/>
        <item x="7"/>
        <item x="6"/>
        <item x="5"/>
        <item x="3"/>
        <item x="1"/>
        <item x="57"/>
        <item x="44"/>
        <item x="28"/>
        <item x="60"/>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1"/>
    </i>
    <i>
      <x v="32"/>
    </i>
    <i>
      <x v="33"/>
    </i>
    <i>
      <x v="49"/>
    </i>
    <i>
      <x v="60"/>
    </i>
    <i>
      <x v="67"/>
    </i>
  </rowItems>
  <colItems count="1">
    <i/>
  </colItems>
  <dataFields count="1">
    <dataField name="Away From Target % wise" fld="11" subtotal="average" baseField="1" baseItem="0" numFmtId="10"/>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60"/>
          </reference>
        </references>
      </pivotArea>
    </chartFormat>
    <chartFormat chart="0" format="3">
      <pivotArea type="data" outline="0" fieldPosition="0">
        <references count="2">
          <reference field="4294967294" count="1" selected="0">
            <x v="0"/>
          </reference>
          <reference field="1" count="1" selected="0">
            <x v="6"/>
          </reference>
        </references>
      </pivotArea>
    </chartFormat>
    <chartFormat chart="0" format="4">
      <pivotArea type="data" outline="0" fieldPosition="0">
        <references count="2">
          <reference field="4294967294" count="1" selected="0">
            <x v="0"/>
          </reference>
          <reference field="1" count="1" selected="0">
            <x v="21"/>
          </reference>
        </references>
      </pivotArea>
    </chartFormat>
    <chartFormat chart="0" format="5">
      <pivotArea type="data" outline="0" fieldPosition="0">
        <references count="2">
          <reference field="4294967294" count="1" selected="0">
            <x v="0"/>
          </reference>
          <reference field="1" count="1" selected="0">
            <x v="52"/>
          </reference>
        </references>
      </pivotArea>
    </chartFormat>
    <chartFormat chart="0" format="6">
      <pivotArea type="data" outline="0" fieldPosition="0">
        <references count="2">
          <reference field="4294967294" count="1" selected="0">
            <x v="0"/>
          </reference>
          <reference field="1" count="1" selected="0">
            <x v="59"/>
          </reference>
        </references>
      </pivotArea>
    </chartFormat>
  </chartFormats>
  <pivotTableStyleInfo name="PivotStyleDark12" showRowHeaders="1" showColHeaders="1" showRowStripes="0" showColStripes="0" showLastColumn="1"/>
  <filters count="1">
    <filter fld="1" type="count" evalOrder="-1" id="15"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4" rowHeaderCaption="Sales Executive">
  <location ref="G3:H9" firstHeaderRow="1" firstDataRow="1" firstDataCol="1"/>
  <pivotFields count="12">
    <pivotField showAll="0"/>
    <pivotField axis="axisRow" showAll="0" measureFilter="1">
      <items count="72">
        <item x="67"/>
        <item x="58"/>
        <item x="50"/>
        <item x="42"/>
        <item x="24"/>
        <item x="31"/>
        <item x="4"/>
        <item x="2"/>
        <item x="37"/>
        <item x="34"/>
        <item x="41"/>
        <item x="61"/>
        <item x="54"/>
        <item x="52"/>
        <item x="53"/>
        <item x="32"/>
        <item x="29"/>
        <item x="62"/>
        <item x="39"/>
        <item x="59"/>
        <item x="66"/>
        <item x="36"/>
        <item x="33"/>
        <item x="51"/>
        <item x="25"/>
        <item x="38"/>
        <item x="47"/>
        <item x="68"/>
        <item x="70"/>
        <item x="43"/>
        <item x="27"/>
        <item x="46"/>
        <item x="63"/>
        <item x="21"/>
        <item x="22"/>
        <item x="0"/>
        <item x="64"/>
        <item x="56"/>
        <item x="49"/>
        <item x="35"/>
        <item x="26"/>
        <item x="48"/>
        <item x="30"/>
        <item x="55"/>
        <item x="20"/>
        <item x="65"/>
        <item x="19"/>
        <item x="69"/>
        <item x="18"/>
        <item x="23"/>
        <item x="17"/>
        <item x="16"/>
        <item x="15"/>
        <item x="14"/>
        <item x="13"/>
        <item x="12"/>
        <item x="11"/>
        <item x="10"/>
        <item x="40"/>
        <item x="9"/>
        <item x="8"/>
        <item x="45"/>
        <item x="7"/>
        <item x="6"/>
        <item x="5"/>
        <item x="3"/>
        <item x="1"/>
        <item x="57"/>
        <item x="44"/>
        <item x="28"/>
        <item x="60"/>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4"/>
    </i>
    <i>
      <x v="15"/>
    </i>
    <i>
      <x v="18"/>
    </i>
    <i>
      <x v="35"/>
    </i>
    <i>
      <x v="37"/>
    </i>
    <i>
      <x v="51"/>
    </i>
  </rowItems>
  <colItems count="1">
    <i/>
  </colItems>
  <dataFields count="1">
    <dataField name="Target Hit % wise" fld="10" subtotal="average"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Sales Executive">
  <location ref="D3:E9" firstHeaderRow="1" firstDataRow="1" firstDataCol="1"/>
  <pivotFields count="12">
    <pivotField showAll="0"/>
    <pivotField axis="axisRow" showAll="0" measureFilter="1">
      <items count="72">
        <item x="67"/>
        <item x="58"/>
        <item x="50"/>
        <item x="42"/>
        <item x="24"/>
        <item x="31"/>
        <item x="4"/>
        <item x="2"/>
        <item x="37"/>
        <item x="34"/>
        <item x="41"/>
        <item x="61"/>
        <item x="54"/>
        <item x="52"/>
        <item x="53"/>
        <item x="32"/>
        <item x="29"/>
        <item x="62"/>
        <item x="39"/>
        <item x="59"/>
        <item x="66"/>
        <item x="36"/>
        <item x="33"/>
        <item x="51"/>
        <item x="25"/>
        <item x="38"/>
        <item x="47"/>
        <item x="68"/>
        <item x="70"/>
        <item x="43"/>
        <item x="27"/>
        <item x="46"/>
        <item x="63"/>
        <item x="21"/>
        <item x="22"/>
        <item x="0"/>
        <item x="64"/>
        <item x="56"/>
        <item x="49"/>
        <item x="35"/>
        <item x="26"/>
        <item x="48"/>
        <item x="30"/>
        <item x="55"/>
        <item x="20"/>
        <item x="65"/>
        <item x="19"/>
        <item x="69"/>
        <item x="18"/>
        <item x="23"/>
        <item x="17"/>
        <item x="16"/>
        <item x="15"/>
        <item x="14"/>
        <item x="13"/>
        <item x="12"/>
        <item x="11"/>
        <item x="10"/>
        <item x="40"/>
        <item x="9"/>
        <item x="8"/>
        <item x="45"/>
        <item x="7"/>
        <item x="6"/>
        <item x="5"/>
        <item x="3"/>
        <item x="1"/>
        <item x="57"/>
        <item x="44"/>
        <item x="28"/>
        <item x="60"/>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6"/>
    </i>
    <i>
      <x v="52"/>
    </i>
    <i>
      <x v="57"/>
    </i>
    <i>
      <x v="59"/>
    </i>
    <i>
      <x v="60"/>
    </i>
    <i t="grand">
      <x/>
    </i>
  </rowItems>
  <colItems count="1">
    <i/>
  </colItems>
  <dataFields count="1">
    <dataField name="Total Sales " fld="8" baseField="1" baseItem="4"/>
  </dataField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47" rowHeaderCaption="Sales Executive">
  <location ref="A3:B9" firstHeaderRow="1" firstDataRow="1" firstDataCol="1"/>
  <pivotFields count="12">
    <pivotField showAll="0"/>
    <pivotField axis="axisRow" showAll="0" measureFilter="1">
      <items count="72">
        <item x="67"/>
        <item x="58"/>
        <item x="50"/>
        <item x="42"/>
        <item x="24"/>
        <item x="31"/>
        <item x="4"/>
        <item x="2"/>
        <item x="37"/>
        <item x="34"/>
        <item x="41"/>
        <item x="61"/>
        <item x="54"/>
        <item x="52"/>
        <item x="53"/>
        <item x="32"/>
        <item x="29"/>
        <item x="62"/>
        <item x="39"/>
        <item x="59"/>
        <item x="66"/>
        <item x="36"/>
        <item x="33"/>
        <item x="51"/>
        <item x="25"/>
        <item x="38"/>
        <item x="47"/>
        <item x="68"/>
        <item x="70"/>
        <item x="43"/>
        <item x="27"/>
        <item x="46"/>
        <item x="63"/>
        <item x="21"/>
        <item x="22"/>
        <item x="0"/>
        <item x="64"/>
        <item x="56"/>
        <item x="49"/>
        <item x="35"/>
        <item x="26"/>
        <item x="48"/>
        <item x="30"/>
        <item x="55"/>
        <item x="20"/>
        <item x="65"/>
        <item x="19"/>
        <item x="69"/>
        <item x="18"/>
        <item x="23"/>
        <item x="17"/>
        <item x="16"/>
        <item x="15"/>
        <item x="14"/>
        <item x="13"/>
        <item x="12"/>
        <item x="11"/>
        <item x="10"/>
        <item x="40"/>
        <item x="9"/>
        <item x="8"/>
        <item x="45"/>
        <item x="7"/>
        <item x="6"/>
        <item x="5"/>
        <item x="3"/>
        <item x="1"/>
        <item x="57"/>
        <item x="44"/>
        <item x="28"/>
        <item x="60"/>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
    </i>
    <i>
      <x v="15"/>
    </i>
    <i>
      <x v="35"/>
    </i>
    <i>
      <x v="37"/>
    </i>
    <i t="grand">
      <x/>
    </i>
  </rowItems>
  <colItems count="1">
    <i/>
  </colItems>
  <dataFields count="1">
    <dataField name="Total Sales " fld="8" baseField="1" baseItem="4"/>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Table5"/>
    <pivotTable tabId="3" name="PivotTable4"/>
    <pivotTable tabId="3" name="PivotTable2"/>
  </pivotTables>
  <data>
    <tabular pivotCacheId="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180000"/>
</slicers>
</file>

<file path=xl/tables/table1.xml><?xml version="1.0" encoding="utf-8"?>
<table xmlns="http://schemas.openxmlformats.org/spreadsheetml/2006/main" id="1" name="SalesTable150" displayName="SalesTable150" ref="A1:L151">
  <autoFilter ref="A1:L151"/>
  <tableColumns count="12">
    <tableColumn id="1" name="Emp Code"/>
    <tableColumn id="2" name="Sales Executive"/>
    <tableColumn id="3" name="Region"/>
    <tableColumn id="4" name="Day1"/>
    <tableColumn id="5" name="Day2"/>
    <tableColumn id="6" name="Day3"/>
    <tableColumn id="7" name="Day4"/>
    <tableColumn id="8" name="Day5"/>
    <tableColumn id="9" name="Total Sales"/>
    <tableColumn id="10" name="Target"/>
    <tableColumn id="11" name="Target Hit %"/>
    <tableColumn id="12" name="Away From Target %"/>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1"/>
  <sheetViews>
    <sheetView showGridLines="0" showRowColHeaders="0" tabSelected="1" zoomScale="115" zoomScaleNormal="115" workbookViewId="0">
      <selection activeCell="L12" sqref="L12"/>
    </sheetView>
  </sheetViews>
  <sheetFormatPr defaultRowHeight="14.4" x14ac:dyDescent="0.3"/>
  <cols>
    <col min="1" max="1" width="17.77734375" customWidth="1"/>
    <col min="2" max="2" width="10.33203125" customWidth="1"/>
    <col min="3" max="3" width="1.88671875" customWidth="1"/>
    <col min="4" max="4" width="17.21875" customWidth="1"/>
    <col min="5" max="5" width="10.109375" customWidth="1"/>
    <col min="6" max="6" width="1.88671875" customWidth="1"/>
    <col min="7" max="7" width="16.88671875" customWidth="1"/>
    <col min="8" max="8" width="14.6640625" customWidth="1"/>
    <col min="9" max="9" width="2.109375" customWidth="1"/>
    <col min="10" max="10" width="17" customWidth="1"/>
    <col min="11" max="11" width="22.109375" customWidth="1"/>
  </cols>
  <sheetData>
    <row r="1" spans="1:11" ht="21.6" customHeight="1" x14ac:dyDescent="0.3">
      <c r="A1" s="15" t="b">
        <v>1</v>
      </c>
      <c r="B1" s="15"/>
      <c r="C1" s="15"/>
      <c r="D1" s="15" t="b">
        <v>0</v>
      </c>
      <c r="E1" s="15"/>
      <c r="F1" s="15"/>
      <c r="G1" s="15" t="b">
        <v>1</v>
      </c>
      <c r="H1" s="15"/>
      <c r="I1" s="15"/>
      <c r="J1" s="15" t="b">
        <v>1</v>
      </c>
      <c r="K1" s="15"/>
    </row>
    <row r="2" spans="1:11" ht="33.6" customHeight="1" x14ac:dyDescent="0.3">
      <c r="A2" s="15"/>
      <c r="B2" s="15"/>
      <c r="C2" s="15"/>
      <c r="D2" s="15"/>
      <c r="E2" s="15"/>
      <c r="F2" s="15"/>
      <c r="G2" s="15"/>
      <c r="H2" s="15"/>
      <c r="I2" s="15"/>
      <c r="J2" s="15"/>
      <c r="K2" s="15"/>
    </row>
    <row r="3" spans="1:11" x14ac:dyDescent="0.3">
      <c r="A3" s="12" t="s">
        <v>1</v>
      </c>
      <c r="B3" t="s">
        <v>255</v>
      </c>
      <c r="C3" s="15"/>
      <c r="D3" s="12" t="s">
        <v>1</v>
      </c>
      <c r="E3" t="s">
        <v>255</v>
      </c>
      <c r="F3" s="15"/>
      <c r="G3" s="12" t="s">
        <v>1</v>
      </c>
      <c r="H3" t="s">
        <v>256</v>
      </c>
      <c r="I3" s="15"/>
      <c r="J3" s="12" t="s">
        <v>1</v>
      </c>
      <c r="K3" t="s">
        <v>257</v>
      </c>
    </row>
    <row r="4" spans="1:11" x14ac:dyDescent="0.3">
      <c r="A4" s="13" t="s">
        <v>137</v>
      </c>
      <c r="B4" s="14">
        <v>510</v>
      </c>
      <c r="C4" s="15"/>
      <c r="D4" s="13" t="s">
        <v>25</v>
      </c>
      <c r="E4" s="14">
        <v>213</v>
      </c>
      <c r="F4" s="15"/>
      <c r="G4" s="13" t="s">
        <v>69</v>
      </c>
      <c r="H4" s="1">
        <v>0.77400000000000002</v>
      </c>
      <c r="I4" s="15"/>
      <c r="J4" s="13" t="s">
        <v>93</v>
      </c>
      <c r="K4" s="1">
        <v>0.58800000000000008</v>
      </c>
    </row>
    <row r="5" spans="1:11" x14ac:dyDescent="0.3">
      <c r="A5" s="13" t="s">
        <v>69</v>
      </c>
      <c r="B5" s="14">
        <v>387</v>
      </c>
      <c r="C5" s="15"/>
      <c r="D5" s="13" t="s">
        <v>51</v>
      </c>
      <c r="E5" s="14">
        <v>199</v>
      </c>
      <c r="F5" s="15"/>
      <c r="G5" s="13" t="s">
        <v>85</v>
      </c>
      <c r="H5" s="1">
        <v>0.68</v>
      </c>
      <c r="I5" s="15"/>
      <c r="J5" s="13" t="s">
        <v>147</v>
      </c>
      <c r="K5" s="1">
        <v>0.57600000000000007</v>
      </c>
    </row>
    <row r="6" spans="1:11" x14ac:dyDescent="0.3">
      <c r="A6" s="13" t="s">
        <v>85</v>
      </c>
      <c r="B6" s="14">
        <v>340</v>
      </c>
      <c r="C6" s="15"/>
      <c r="D6" s="13" t="s">
        <v>41</v>
      </c>
      <c r="E6" s="14">
        <v>219</v>
      </c>
      <c r="F6" s="15"/>
      <c r="G6" s="13" t="s">
        <v>99</v>
      </c>
      <c r="H6" s="1">
        <v>0.628</v>
      </c>
      <c r="I6" s="15"/>
      <c r="J6" s="13" t="s">
        <v>63</v>
      </c>
      <c r="K6" s="1">
        <v>0.52400000000000002</v>
      </c>
    </row>
    <row r="7" spans="1:11" x14ac:dyDescent="0.3">
      <c r="A7" s="13" t="s">
        <v>13</v>
      </c>
      <c r="B7" s="14">
        <v>339</v>
      </c>
      <c r="C7" s="15"/>
      <c r="D7" s="13" t="s">
        <v>39</v>
      </c>
      <c r="E7" s="14">
        <v>213</v>
      </c>
      <c r="F7" s="15"/>
      <c r="G7" s="13" t="s">
        <v>13</v>
      </c>
      <c r="H7" s="1">
        <v>0.67800000000000005</v>
      </c>
      <c r="I7" s="15"/>
      <c r="J7" s="13" t="s">
        <v>67</v>
      </c>
      <c r="K7" s="1">
        <v>0.63200000000000001</v>
      </c>
    </row>
    <row r="8" spans="1:11" x14ac:dyDescent="0.3">
      <c r="A8" s="13" t="s">
        <v>133</v>
      </c>
      <c r="B8" s="14">
        <v>327</v>
      </c>
      <c r="C8" s="15"/>
      <c r="D8" s="13" t="s">
        <v>37</v>
      </c>
      <c r="E8" s="14">
        <v>189</v>
      </c>
      <c r="F8" s="15"/>
      <c r="G8" s="13" t="s">
        <v>133</v>
      </c>
      <c r="H8" s="1">
        <v>0.65400000000000003</v>
      </c>
      <c r="I8" s="15"/>
      <c r="J8" s="13" t="s">
        <v>37</v>
      </c>
      <c r="K8" s="1">
        <v>0.622</v>
      </c>
    </row>
    <row r="9" spans="1:11" x14ac:dyDescent="0.3">
      <c r="A9" s="13" t="s">
        <v>254</v>
      </c>
      <c r="B9" s="14">
        <v>1903</v>
      </c>
      <c r="C9" s="15"/>
      <c r="D9" s="13" t="s">
        <v>254</v>
      </c>
      <c r="E9" s="14">
        <v>1033</v>
      </c>
      <c r="F9" s="15"/>
      <c r="G9" s="13" t="s">
        <v>53</v>
      </c>
      <c r="H9" s="1">
        <v>0.61199999999999999</v>
      </c>
      <c r="I9" s="15"/>
      <c r="J9" s="13" t="s">
        <v>135</v>
      </c>
      <c r="K9" s="1">
        <v>0.63400000000000001</v>
      </c>
    </row>
    <row r="10" spans="1:11" x14ac:dyDescent="0.3">
      <c r="A10" s="15"/>
      <c r="B10" s="15"/>
      <c r="C10" s="15"/>
      <c r="D10" s="15"/>
      <c r="E10" s="15"/>
      <c r="F10" s="15"/>
      <c r="G10" s="15"/>
      <c r="H10" s="15"/>
      <c r="I10" s="15"/>
      <c r="J10" s="15"/>
      <c r="K10" s="15"/>
    </row>
    <row r="11" spans="1:11" x14ac:dyDescent="0.3">
      <c r="A11" s="15"/>
      <c r="B11" s="15"/>
      <c r="C11" s="15"/>
      <c r="D11" s="15"/>
      <c r="E11" s="15"/>
      <c r="F11" s="15"/>
      <c r="G11" s="15"/>
      <c r="H11" s="15"/>
      <c r="I11" s="15"/>
      <c r="J11" s="15"/>
      <c r="K11" s="15"/>
    </row>
    <row r="12" spans="1:11" x14ac:dyDescent="0.3">
      <c r="A12" s="15"/>
      <c r="B12" s="15"/>
      <c r="C12" s="15"/>
      <c r="D12" s="15"/>
      <c r="E12" s="15"/>
      <c r="F12" s="15"/>
      <c r="G12" s="15"/>
      <c r="H12" s="15"/>
      <c r="I12" s="15"/>
      <c r="J12" s="15"/>
      <c r="K12" s="15"/>
    </row>
    <row r="13" spans="1:11" x14ac:dyDescent="0.3">
      <c r="A13" s="15"/>
      <c r="B13" s="15"/>
      <c r="C13" s="15"/>
      <c r="D13" s="15"/>
      <c r="E13" s="15"/>
      <c r="F13" s="15"/>
      <c r="G13" s="15"/>
      <c r="H13" s="15"/>
      <c r="I13" s="15"/>
      <c r="J13" s="15"/>
      <c r="K13" s="15"/>
    </row>
    <row r="14" spans="1:11" x14ac:dyDescent="0.3">
      <c r="A14" s="15"/>
      <c r="B14" s="15"/>
      <c r="C14" s="15"/>
      <c r="D14" s="15"/>
      <c r="E14" s="15"/>
      <c r="F14" s="15"/>
      <c r="G14" s="15"/>
      <c r="H14" s="15"/>
      <c r="I14" s="15"/>
      <c r="J14" s="15"/>
      <c r="K14" s="15"/>
    </row>
    <row r="15" spans="1:11" x14ac:dyDescent="0.3">
      <c r="A15" s="15"/>
      <c r="B15" s="15"/>
      <c r="C15" s="15"/>
      <c r="D15" s="15"/>
      <c r="E15" s="15"/>
      <c r="F15" s="15"/>
      <c r="G15" s="15"/>
      <c r="H15" s="15"/>
      <c r="I15" s="15"/>
      <c r="J15" s="15"/>
      <c r="K15" s="15"/>
    </row>
    <row r="16" spans="1:11" x14ac:dyDescent="0.3">
      <c r="A16" s="15"/>
      <c r="B16" s="15"/>
      <c r="C16" s="15"/>
      <c r="D16" s="15"/>
      <c r="E16" s="15"/>
      <c r="F16" s="15"/>
      <c r="G16" s="15"/>
      <c r="H16" s="15"/>
      <c r="I16" s="15"/>
      <c r="J16" s="15"/>
      <c r="K16" s="15"/>
    </row>
    <row r="17" spans="1:11" x14ac:dyDescent="0.3">
      <c r="A17" s="15"/>
      <c r="B17" s="15"/>
      <c r="C17" s="15"/>
      <c r="D17" s="15"/>
      <c r="E17" s="15"/>
      <c r="F17" s="15"/>
      <c r="G17" s="15"/>
      <c r="H17" s="15"/>
      <c r="I17" s="15"/>
      <c r="J17" s="15"/>
      <c r="K17" s="15"/>
    </row>
    <row r="18" spans="1:11" x14ac:dyDescent="0.3">
      <c r="A18" s="15"/>
      <c r="B18" s="15"/>
      <c r="C18" s="15"/>
      <c r="D18" s="15"/>
      <c r="E18" s="15"/>
      <c r="F18" s="15"/>
      <c r="G18" s="15"/>
      <c r="H18" s="15"/>
      <c r="I18" s="15"/>
      <c r="J18" s="15"/>
      <c r="K18" s="15"/>
    </row>
    <row r="19" spans="1:11" x14ac:dyDescent="0.3">
      <c r="A19" s="15"/>
      <c r="B19" s="15"/>
      <c r="C19" s="15"/>
      <c r="D19" s="15"/>
      <c r="E19" s="15"/>
      <c r="F19" s="15"/>
      <c r="G19" s="15"/>
      <c r="H19" s="15"/>
      <c r="I19" s="15"/>
      <c r="J19" s="15"/>
      <c r="K19" s="15"/>
    </row>
    <row r="20" spans="1:11" x14ac:dyDescent="0.3">
      <c r="A20" s="15"/>
      <c r="B20" s="15"/>
      <c r="C20" s="15"/>
      <c r="D20" s="15"/>
      <c r="E20" s="15"/>
      <c r="F20" s="15"/>
      <c r="G20" s="15"/>
      <c r="H20" s="15"/>
      <c r="I20" s="15"/>
      <c r="J20" s="15"/>
      <c r="K20" s="15"/>
    </row>
    <row r="21" spans="1:11" x14ac:dyDescent="0.3">
      <c r="A21" s="15"/>
      <c r="B21" s="15"/>
      <c r="C21" s="15"/>
      <c r="D21" s="15"/>
      <c r="E21" s="15"/>
      <c r="F21" s="15"/>
      <c r="G21" s="15"/>
      <c r="H21" s="15"/>
      <c r="I21" s="15"/>
      <c r="J21" s="15"/>
      <c r="K21" s="15"/>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548640</xdr:colOff>
                    <xdr:row>1</xdr:row>
                    <xdr:rowOff>121920</xdr:rowOff>
                  </from>
                  <to>
                    <xdr:col>1</xdr:col>
                    <xdr:colOff>121920</xdr:colOff>
                    <xdr:row>1</xdr:row>
                    <xdr:rowOff>342900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533400</xdr:colOff>
                    <xdr:row>1</xdr:row>
                    <xdr:rowOff>129540</xdr:rowOff>
                  </from>
                  <to>
                    <xdr:col>4</xdr:col>
                    <xdr:colOff>495300</xdr:colOff>
                    <xdr:row>1</xdr:row>
                    <xdr:rowOff>350520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617220</xdr:colOff>
                    <xdr:row>1</xdr:row>
                    <xdr:rowOff>114300</xdr:rowOff>
                  </from>
                  <to>
                    <xdr:col>7</xdr:col>
                    <xdr:colOff>601980</xdr:colOff>
                    <xdr:row>1</xdr:row>
                    <xdr:rowOff>335280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9</xdr:col>
                    <xdr:colOff>746760</xdr:colOff>
                    <xdr:row>1</xdr:row>
                    <xdr:rowOff>129540</xdr:rowOff>
                  </from>
                  <to>
                    <xdr:col>10</xdr:col>
                    <xdr:colOff>731520</xdr:colOff>
                    <xdr:row>1</xdr:row>
                    <xdr:rowOff>350520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51"/>
  <sheetViews>
    <sheetView workbookViewId="0">
      <pane xSplit="3" ySplit="1" topLeftCell="D2" activePane="bottomRight" state="frozen"/>
      <selection pane="topRight"/>
      <selection pane="bottomLeft"/>
      <selection pane="bottomRight" activeCell="J95" sqref="A2:L151"/>
    </sheetView>
  </sheetViews>
  <sheetFormatPr defaultRowHeight="14.4" x14ac:dyDescent="0.3"/>
  <cols>
    <col min="1" max="1" width="16" customWidth="1"/>
    <col min="2" max="2" width="24" customWidth="1"/>
    <col min="3" max="3" width="14" customWidth="1"/>
    <col min="4" max="8" width="10" customWidth="1"/>
    <col min="9" max="9" width="14" customWidth="1"/>
    <col min="10" max="10" width="12" customWidth="1"/>
    <col min="11" max="11" width="16" customWidth="1"/>
    <col min="12" max="12" width="22" customWidth="1"/>
    <col min="13" max="13" width="18" customWidth="1"/>
  </cols>
  <sheetData>
    <row r="1" spans="1:12" ht="28.05" customHeight="1" x14ac:dyDescent="0.3">
      <c r="A1" s="2" t="s">
        <v>0</v>
      </c>
      <c r="B1" s="2" t="s">
        <v>1</v>
      </c>
      <c r="C1" s="2" t="s">
        <v>2</v>
      </c>
      <c r="D1" s="2" t="s">
        <v>3</v>
      </c>
      <c r="E1" s="2" t="s">
        <v>4</v>
      </c>
      <c r="F1" s="2" t="s">
        <v>5</v>
      </c>
      <c r="G1" s="2" t="s">
        <v>6</v>
      </c>
      <c r="H1" s="2" t="s">
        <v>7</v>
      </c>
      <c r="I1" s="2" t="s">
        <v>8</v>
      </c>
      <c r="J1" s="2" t="s">
        <v>9</v>
      </c>
      <c r="K1" s="2" t="s">
        <v>10</v>
      </c>
      <c r="L1" s="2" t="s">
        <v>11</v>
      </c>
    </row>
    <row r="2" spans="1:12" x14ac:dyDescent="0.3">
      <c r="A2" s="3" t="s">
        <v>12</v>
      </c>
      <c r="B2" s="3" t="s">
        <v>13</v>
      </c>
      <c r="C2" s="3" t="s">
        <v>14</v>
      </c>
      <c r="D2" s="3">
        <v>49</v>
      </c>
      <c r="E2" s="3">
        <v>84</v>
      </c>
      <c r="F2" s="3">
        <v>98</v>
      </c>
      <c r="G2" s="3">
        <v>67</v>
      </c>
      <c r="H2" s="3">
        <v>41</v>
      </c>
      <c r="I2" s="3">
        <f t="shared" ref="I2:I33" si="0">SUM(D2:H2)</f>
        <v>339</v>
      </c>
      <c r="J2" s="3">
        <v>500</v>
      </c>
      <c r="K2" s="4">
        <f t="shared" ref="K2:K33" si="1">I2/J2</f>
        <v>0.67800000000000005</v>
      </c>
      <c r="L2" s="4">
        <f t="shared" ref="L2:L33" si="2">1-K2</f>
        <v>0.32199999999999995</v>
      </c>
    </row>
    <row r="3" spans="1:12" x14ac:dyDescent="0.3">
      <c r="A3" s="3" t="s">
        <v>15</v>
      </c>
      <c r="B3" s="3" t="s">
        <v>16</v>
      </c>
      <c r="C3" s="3" t="s">
        <v>17</v>
      </c>
      <c r="D3" s="3">
        <v>44</v>
      </c>
      <c r="E3" s="3">
        <v>85</v>
      </c>
      <c r="F3" s="3">
        <v>47</v>
      </c>
      <c r="G3" s="3">
        <v>15</v>
      </c>
      <c r="H3" s="3">
        <v>48</v>
      </c>
      <c r="I3" s="3">
        <f t="shared" si="0"/>
        <v>239</v>
      </c>
      <c r="J3" s="3">
        <v>500</v>
      </c>
      <c r="K3" s="4">
        <f t="shared" si="1"/>
        <v>0.47799999999999998</v>
      </c>
      <c r="L3" s="4">
        <f t="shared" si="2"/>
        <v>0.52200000000000002</v>
      </c>
    </row>
    <row r="4" spans="1:12" x14ac:dyDescent="0.3">
      <c r="A4" s="3" t="s">
        <v>18</v>
      </c>
      <c r="B4" s="3" t="s">
        <v>19</v>
      </c>
      <c r="C4" s="3" t="s">
        <v>20</v>
      </c>
      <c r="D4" s="3">
        <v>45</v>
      </c>
      <c r="E4" s="3">
        <v>79</v>
      </c>
      <c r="F4" s="3">
        <v>88</v>
      </c>
      <c r="G4" s="3">
        <v>73</v>
      </c>
      <c r="H4" s="3">
        <v>94</v>
      </c>
      <c r="I4" s="3">
        <f t="shared" si="0"/>
        <v>379</v>
      </c>
      <c r="J4" s="3">
        <v>500</v>
      </c>
      <c r="K4" s="4">
        <f t="shared" si="1"/>
        <v>0.75800000000000001</v>
      </c>
      <c r="L4" s="4">
        <f t="shared" si="2"/>
        <v>0.24199999999999999</v>
      </c>
    </row>
    <row r="5" spans="1:12" x14ac:dyDescent="0.3">
      <c r="A5" s="3" t="s">
        <v>21</v>
      </c>
      <c r="B5" s="3" t="s">
        <v>22</v>
      </c>
      <c r="C5" s="3" t="s">
        <v>23</v>
      </c>
      <c r="D5" s="3">
        <v>52</v>
      </c>
      <c r="E5" s="3">
        <v>99</v>
      </c>
      <c r="F5" s="3">
        <v>13</v>
      </c>
      <c r="G5" s="3">
        <v>95</v>
      </c>
      <c r="H5" s="3">
        <v>29</v>
      </c>
      <c r="I5" s="3">
        <f t="shared" si="0"/>
        <v>288</v>
      </c>
      <c r="J5" s="3">
        <v>500</v>
      </c>
      <c r="K5" s="4">
        <f t="shared" si="1"/>
        <v>0.57599999999999996</v>
      </c>
      <c r="L5" s="4">
        <f t="shared" si="2"/>
        <v>0.42400000000000004</v>
      </c>
    </row>
    <row r="6" spans="1:12" x14ac:dyDescent="0.3">
      <c r="A6" s="3" t="s">
        <v>24</v>
      </c>
      <c r="B6" s="3" t="s">
        <v>25</v>
      </c>
      <c r="C6" s="3" t="s">
        <v>26</v>
      </c>
      <c r="D6" s="3">
        <v>35</v>
      </c>
      <c r="E6" s="3">
        <v>54</v>
      </c>
      <c r="F6" s="3">
        <v>49</v>
      </c>
      <c r="G6" s="3">
        <v>26</v>
      </c>
      <c r="H6" s="3">
        <v>49</v>
      </c>
      <c r="I6" s="3">
        <f t="shared" si="0"/>
        <v>213</v>
      </c>
      <c r="J6" s="3">
        <v>500</v>
      </c>
      <c r="K6" s="4">
        <f t="shared" si="1"/>
        <v>0.42599999999999999</v>
      </c>
      <c r="L6" s="4">
        <f t="shared" si="2"/>
        <v>0.57400000000000007</v>
      </c>
    </row>
    <row r="7" spans="1:12" x14ac:dyDescent="0.3">
      <c r="A7" s="3" t="s">
        <v>27</v>
      </c>
      <c r="B7" s="3" t="s">
        <v>28</v>
      </c>
      <c r="C7" s="3" t="s">
        <v>29</v>
      </c>
      <c r="D7" s="3">
        <v>86</v>
      </c>
      <c r="E7" s="3">
        <v>31</v>
      </c>
      <c r="F7" s="3">
        <v>23</v>
      </c>
      <c r="G7" s="3">
        <v>48</v>
      </c>
      <c r="H7" s="3">
        <v>77</v>
      </c>
      <c r="I7" s="3">
        <f t="shared" si="0"/>
        <v>265</v>
      </c>
      <c r="J7" s="3">
        <v>500</v>
      </c>
      <c r="K7" s="4">
        <f t="shared" si="1"/>
        <v>0.53</v>
      </c>
      <c r="L7" s="4">
        <f t="shared" si="2"/>
        <v>0.47</v>
      </c>
    </row>
    <row r="8" spans="1:12" x14ac:dyDescent="0.3">
      <c r="A8" s="3" t="s">
        <v>30</v>
      </c>
      <c r="B8" s="3" t="s">
        <v>31</v>
      </c>
      <c r="C8" s="3" t="s">
        <v>32</v>
      </c>
      <c r="D8" s="3">
        <v>84</v>
      </c>
      <c r="E8" s="3">
        <v>28</v>
      </c>
      <c r="F8" s="3">
        <v>98</v>
      </c>
      <c r="G8" s="3">
        <v>80</v>
      </c>
      <c r="H8" s="3">
        <v>79</v>
      </c>
      <c r="I8" s="3">
        <f t="shared" si="0"/>
        <v>369</v>
      </c>
      <c r="J8" s="3">
        <v>500</v>
      </c>
      <c r="K8" s="4">
        <f t="shared" si="1"/>
        <v>0.73799999999999999</v>
      </c>
      <c r="L8" s="4">
        <f t="shared" si="2"/>
        <v>0.26200000000000001</v>
      </c>
    </row>
    <row r="9" spans="1:12" x14ac:dyDescent="0.3">
      <c r="A9" s="3" t="s">
        <v>33</v>
      </c>
      <c r="B9" s="3" t="s">
        <v>34</v>
      </c>
      <c r="C9" s="3" t="s">
        <v>35</v>
      </c>
      <c r="D9" s="3">
        <v>73</v>
      </c>
      <c r="E9" s="3">
        <v>97</v>
      </c>
      <c r="F9" s="3">
        <v>38</v>
      </c>
      <c r="G9" s="3">
        <v>24</v>
      </c>
      <c r="H9" s="3">
        <v>53</v>
      </c>
      <c r="I9" s="3">
        <f t="shared" si="0"/>
        <v>285</v>
      </c>
      <c r="J9" s="3">
        <v>500</v>
      </c>
      <c r="K9" s="4">
        <f t="shared" si="1"/>
        <v>0.56999999999999995</v>
      </c>
      <c r="L9" s="4">
        <f t="shared" si="2"/>
        <v>0.43000000000000005</v>
      </c>
    </row>
    <row r="10" spans="1:12" x14ac:dyDescent="0.3">
      <c r="A10" s="3" t="s">
        <v>36</v>
      </c>
      <c r="B10" s="3" t="s">
        <v>37</v>
      </c>
      <c r="C10" s="3" t="s">
        <v>14</v>
      </c>
      <c r="D10" s="3">
        <v>54</v>
      </c>
      <c r="E10" s="3">
        <v>26</v>
      </c>
      <c r="F10" s="3">
        <v>53</v>
      </c>
      <c r="G10" s="3">
        <v>36</v>
      </c>
      <c r="H10" s="3">
        <v>20</v>
      </c>
      <c r="I10" s="3">
        <f t="shared" si="0"/>
        <v>189</v>
      </c>
      <c r="J10" s="3">
        <v>500</v>
      </c>
      <c r="K10" s="4">
        <f t="shared" si="1"/>
        <v>0.378</v>
      </c>
      <c r="L10" s="4">
        <f t="shared" si="2"/>
        <v>0.622</v>
      </c>
    </row>
    <row r="11" spans="1:12" x14ac:dyDescent="0.3">
      <c r="A11" s="3" t="s">
        <v>38</v>
      </c>
      <c r="B11" s="3" t="s">
        <v>39</v>
      </c>
      <c r="C11" s="3" t="s">
        <v>17</v>
      </c>
      <c r="D11" s="3">
        <v>52</v>
      </c>
      <c r="E11" s="3">
        <v>52</v>
      </c>
      <c r="F11" s="3">
        <v>19</v>
      </c>
      <c r="G11" s="3">
        <v>53</v>
      </c>
      <c r="H11" s="3">
        <v>37</v>
      </c>
      <c r="I11" s="3">
        <f t="shared" si="0"/>
        <v>213</v>
      </c>
      <c r="J11" s="3">
        <v>500</v>
      </c>
      <c r="K11" s="4">
        <f t="shared" si="1"/>
        <v>0.42599999999999999</v>
      </c>
      <c r="L11" s="4">
        <f t="shared" si="2"/>
        <v>0.57400000000000007</v>
      </c>
    </row>
    <row r="12" spans="1:12" x14ac:dyDescent="0.3">
      <c r="A12" s="3" t="s">
        <v>40</v>
      </c>
      <c r="B12" s="3" t="s">
        <v>41</v>
      </c>
      <c r="C12" s="3" t="s">
        <v>20</v>
      </c>
      <c r="D12" s="3">
        <v>63</v>
      </c>
      <c r="E12" s="3">
        <v>17</v>
      </c>
      <c r="F12" s="3">
        <v>40</v>
      </c>
      <c r="G12" s="3">
        <v>48</v>
      </c>
      <c r="H12" s="3">
        <v>51</v>
      </c>
      <c r="I12" s="3">
        <f t="shared" si="0"/>
        <v>219</v>
      </c>
      <c r="J12" s="3">
        <v>500</v>
      </c>
      <c r="K12" s="4">
        <f t="shared" si="1"/>
        <v>0.438</v>
      </c>
      <c r="L12" s="4">
        <f t="shared" si="2"/>
        <v>0.56200000000000006</v>
      </c>
    </row>
    <row r="13" spans="1:12" x14ac:dyDescent="0.3">
      <c r="A13" s="3" t="s">
        <v>42</v>
      </c>
      <c r="B13" s="3" t="s">
        <v>43</v>
      </c>
      <c r="C13" s="3" t="s">
        <v>23</v>
      </c>
      <c r="D13" s="3">
        <v>79</v>
      </c>
      <c r="E13" s="3">
        <v>99</v>
      </c>
      <c r="F13" s="3">
        <v>95</v>
      </c>
      <c r="G13" s="3">
        <v>12</v>
      </c>
      <c r="H13" s="3">
        <v>91</v>
      </c>
      <c r="I13" s="3">
        <f t="shared" si="0"/>
        <v>376</v>
      </c>
      <c r="J13" s="3">
        <v>500</v>
      </c>
      <c r="K13" s="4">
        <f t="shared" si="1"/>
        <v>0.752</v>
      </c>
      <c r="L13" s="4">
        <f t="shared" si="2"/>
        <v>0.248</v>
      </c>
    </row>
    <row r="14" spans="1:12" x14ac:dyDescent="0.3">
      <c r="A14" s="3" t="s">
        <v>44</v>
      </c>
      <c r="B14" s="3" t="s">
        <v>45</v>
      </c>
      <c r="C14" s="3" t="s">
        <v>26</v>
      </c>
      <c r="D14" s="3">
        <v>95</v>
      </c>
      <c r="E14" s="3">
        <v>88</v>
      </c>
      <c r="F14" s="3">
        <v>11</v>
      </c>
      <c r="G14" s="3">
        <v>78</v>
      </c>
      <c r="H14" s="3">
        <v>60</v>
      </c>
      <c r="I14" s="3">
        <f t="shared" si="0"/>
        <v>332</v>
      </c>
      <c r="J14" s="3">
        <v>500</v>
      </c>
      <c r="K14" s="4">
        <f t="shared" si="1"/>
        <v>0.66400000000000003</v>
      </c>
      <c r="L14" s="4">
        <f t="shared" si="2"/>
        <v>0.33599999999999997</v>
      </c>
    </row>
    <row r="15" spans="1:12" x14ac:dyDescent="0.3">
      <c r="A15" s="3" t="s">
        <v>46</v>
      </c>
      <c r="B15" s="3" t="s">
        <v>47</v>
      </c>
      <c r="C15" s="3" t="s">
        <v>29</v>
      </c>
      <c r="D15" s="3">
        <v>83</v>
      </c>
      <c r="E15" s="3">
        <v>77</v>
      </c>
      <c r="F15" s="3">
        <v>66</v>
      </c>
      <c r="G15" s="3">
        <v>22</v>
      </c>
      <c r="H15" s="3">
        <v>40</v>
      </c>
      <c r="I15" s="3">
        <f t="shared" si="0"/>
        <v>288</v>
      </c>
      <c r="J15" s="3">
        <v>500</v>
      </c>
      <c r="K15" s="4">
        <f t="shared" si="1"/>
        <v>0.57599999999999996</v>
      </c>
      <c r="L15" s="4">
        <f t="shared" si="2"/>
        <v>0.42400000000000004</v>
      </c>
    </row>
    <row r="16" spans="1:12" x14ac:dyDescent="0.3">
      <c r="A16" s="3" t="s">
        <v>48</v>
      </c>
      <c r="B16" s="3" t="s">
        <v>49</v>
      </c>
      <c r="C16" s="3" t="s">
        <v>32</v>
      </c>
      <c r="D16" s="3">
        <v>78</v>
      </c>
      <c r="E16" s="3">
        <v>58</v>
      </c>
      <c r="F16" s="3">
        <v>34</v>
      </c>
      <c r="G16" s="3">
        <v>84</v>
      </c>
      <c r="H16" s="3">
        <v>31</v>
      </c>
      <c r="I16" s="3">
        <f t="shared" si="0"/>
        <v>285</v>
      </c>
      <c r="J16" s="3">
        <v>500</v>
      </c>
      <c r="K16" s="4">
        <f t="shared" si="1"/>
        <v>0.56999999999999995</v>
      </c>
      <c r="L16" s="4">
        <f t="shared" si="2"/>
        <v>0.43000000000000005</v>
      </c>
    </row>
    <row r="17" spans="1:12" x14ac:dyDescent="0.3">
      <c r="A17" s="3" t="s">
        <v>50</v>
      </c>
      <c r="B17" s="3" t="s">
        <v>51</v>
      </c>
      <c r="C17" s="3" t="s">
        <v>35</v>
      </c>
      <c r="D17" s="3">
        <v>14</v>
      </c>
      <c r="E17" s="3">
        <v>25</v>
      </c>
      <c r="F17" s="3">
        <v>45</v>
      </c>
      <c r="G17" s="3">
        <v>70</v>
      </c>
      <c r="H17" s="3">
        <v>45</v>
      </c>
      <c r="I17" s="3">
        <f t="shared" si="0"/>
        <v>199</v>
      </c>
      <c r="J17" s="3">
        <v>500</v>
      </c>
      <c r="K17" s="4">
        <f t="shared" si="1"/>
        <v>0.39800000000000002</v>
      </c>
      <c r="L17" s="4">
        <f t="shared" si="2"/>
        <v>0.60199999999999998</v>
      </c>
    </row>
    <row r="18" spans="1:12" x14ac:dyDescent="0.3">
      <c r="A18" s="3" t="s">
        <v>52</v>
      </c>
      <c r="B18" s="3" t="s">
        <v>53</v>
      </c>
      <c r="C18" s="3" t="s">
        <v>14</v>
      </c>
      <c r="D18" s="3">
        <v>37</v>
      </c>
      <c r="E18" s="3">
        <v>69</v>
      </c>
      <c r="F18" s="3">
        <v>96</v>
      </c>
      <c r="G18" s="3">
        <v>66</v>
      </c>
      <c r="H18" s="3">
        <v>38</v>
      </c>
      <c r="I18" s="3">
        <f t="shared" si="0"/>
        <v>306</v>
      </c>
      <c r="J18" s="3">
        <v>500</v>
      </c>
      <c r="K18" s="4">
        <f t="shared" si="1"/>
        <v>0.61199999999999999</v>
      </c>
      <c r="L18" s="4">
        <f t="shared" si="2"/>
        <v>0.38800000000000001</v>
      </c>
    </row>
    <row r="19" spans="1:12" x14ac:dyDescent="0.3">
      <c r="A19" s="3" t="s">
        <v>54</v>
      </c>
      <c r="B19" s="3" t="s">
        <v>55</v>
      </c>
      <c r="C19" s="3" t="s">
        <v>17</v>
      </c>
      <c r="D19" s="3">
        <v>11</v>
      </c>
      <c r="E19" s="3">
        <v>46</v>
      </c>
      <c r="F19" s="3">
        <v>91</v>
      </c>
      <c r="G19" s="3">
        <v>98</v>
      </c>
      <c r="H19" s="3">
        <v>45</v>
      </c>
      <c r="I19" s="3">
        <f t="shared" si="0"/>
        <v>291</v>
      </c>
      <c r="J19" s="3">
        <v>500</v>
      </c>
      <c r="K19" s="4">
        <f t="shared" si="1"/>
        <v>0.58199999999999996</v>
      </c>
      <c r="L19" s="4">
        <f t="shared" si="2"/>
        <v>0.41800000000000004</v>
      </c>
    </row>
    <row r="20" spans="1:12" x14ac:dyDescent="0.3">
      <c r="A20" s="3" t="s">
        <v>56</v>
      </c>
      <c r="B20" s="3" t="s">
        <v>57</v>
      </c>
      <c r="C20" s="3" t="s">
        <v>20</v>
      </c>
      <c r="D20" s="3">
        <v>19</v>
      </c>
      <c r="E20" s="3">
        <v>34</v>
      </c>
      <c r="F20" s="3">
        <v>64</v>
      </c>
      <c r="G20" s="3">
        <v>65</v>
      </c>
      <c r="H20" s="3">
        <v>70</v>
      </c>
      <c r="I20" s="3">
        <f t="shared" si="0"/>
        <v>252</v>
      </c>
      <c r="J20" s="3">
        <v>500</v>
      </c>
      <c r="K20" s="4">
        <f t="shared" si="1"/>
        <v>0.504</v>
      </c>
      <c r="L20" s="4">
        <f t="shared" si="2"/>
        <v>0.496</v>
      </c>
    </row>
    <row r="21" spans="1:12" x14ac:dyDescent="0.3">
      <c r="A21" s="3" t="s">
        <v>58</v>
      </c>
      <c r="B21" s="3" t="s">
        <v>59</v>
      </c>
      <c r="C21" s="3" t="s">
        <v>23</v>
      </c>
      <c r="D21" s="3">
        <v>93</v>
      </c>
      <c r="E21" s="3">
        <v>84</v>
      </c>
      <c r="F21" s="3">
        <v>13</v>
      </c>
      <c r="G21" s="3">
        <v>45</v>
      </c>
      <c r="H21" s="3">
        <v>18</v>
      </c>
      <c r="I21" s="3">
        <f t="shared" si="0"/>
        <v>253</v>
      </c>
      <c r="J21" s="3">
        <v>500</v>
      </c>
      <c r="K21" s="4">
        <f t="shared" si="1"/>
        <v>0.50600000000000001</v>
      </c>
      <c r="L21" s="4">
        <f t="shared" si="2"/>
        <v>0.49399999999999999</v>
      </c>
    </row>
    <row r="22" spans="1:12" x14ac:dyDescent="0.3">
      <c r="A22" s="3" t="s">
        <v>60</v>
      </c>
      <c r="B22" s="3" t="s">
        <v>61</v>
      </c>
      <c r="C22" s="3" t="s">
        <v>26</v>
      </c>
      <c r="D22" s="3">
        <v>68</v>
      </c>
      <c r="E22" s="3">
        <v>73</v>
      </c>
      <c r="F22" s="3">
        <v>97</v>
      </c>
      <c r="G22" s="3">
        <v>76</v>
      </c>
      <c r="H22" s="3">
        <v>53</v>
      </c>
      <c r="I22" s="3">
        <f t="shared" si="0"/>
        <v>367</v>
      </c>
      <c r="J22" s="3">
        <v>500</v>
      </c>
      <c r="K22" s="4">
        <f t="shared" si="1"/>
        <v>0.73399999999999999</v>
      </c>
      <c r="L22" s="4">
        <f t="shared" si="2"/>
        <v>0.26600000000000001</v>
      </c>
    </row>
    <row r="23" spans="1:12" x14ac:dyDescent="0.3">
      <c r="A23" s="3" t="s">
        <v>62</v>
      </c>
      <c r="B23" s="3" t="s">
        <v>63</v>
      </c>
      <c r="C23" s="3" t="s">
        <v>17</v>
      </c>
      <c r="D23" s="3">
        <v>13</v>
      </c>
      <c r="E23" s="3">
        <v>45</v>
      </c>
      <c r="F23" s="3">
        <v>41</v>
      </c>
      <c r="G23" s="3">
        <v>38</v>
      </c>
      <c r="H23" s="3">
        <v>27</v>
      </c>
      <c r="I23" s="3">
        <f t="shared" si="0"/>
        <v>164</v>
      </c>
      <c r="J23" s="3">
        <v>500</v>
      </c>
      <c r="K23" s="4">
        <f t="shared" si="1"/>
        <v>0.32800000000000001</v>
      </c>
      <c r="L23" s="4">
        <f t="shared" si="2"/>
        <v>0.67199999999999993</v>
      </c>
    </row>
    <row r="24" spans="1:12" x14ac:dyDescent="0.3">
      <c r="A24" s="3" t="s">
        <v>64</v>
      </c>
      <c r="B24" s="3" t="s">
        <v>65</v>
      </c>
      <c r="C24" s="3" t="s">
        <v>17</v>
      </c>
      <c r="D24" s="3">
        <v>96</v>
      </c>
      <c r="E24" s="3">
        <v>79</v>
      </c>
      <c r="F24" s="3">
        <v>21</v>
      </c>
      <c r="G24" s="3">
        <v>85</v>
      </c>
      <c r="H24" s="3">
        <v>64</v>
      </c>
      <c r="I24" s="3">
        <f t="shared" si="0"/>
        <v>345</v>
      </c>
      <c r="J24" s="3">
        <v>500</v>
      </c>
      <c r="K24" s="4">
        <f t="shared" si="1"/>
        <v>0.69</v>
      </c>
      <c r="L24" s="4">
        <f t="shared" si="2"/>
        <v>0.31000000000000005</v>
      </c>
    </row>
    <row r="25" spans="1:12" x14ac:dyDescent="0.3">
      <c r="A25" s="3" t="s">
        <v>66</v>
      </c>
      <c r="B25" s="3" t="s">
        <v>67</v>
      </c>
      <c r="C25" s="3" t="s">
        <v>14</v>
      </c>
      <c r="D25" s="3">
        <v>13</v>
      </c>
      <c r="E25" s="3">
        <v>21</v>
      </c>
      <c r="F25" s="3">
        <v>37</v>
      </c>
      <c r="G25" s="3">
        <v>39</v>
      </c>
      <c r="H25" s="3">
        <v>74</v>
      </c>
      <c r="I25" s="3">
        <f t="shared" si="0"/>
        <v>184</v>
      </c>
      <c r="J25" s="3">
        <v>500</v>
      </c>
      <c r="K25" s="4">
        <f t="shared" si="1"/>
        <v>0.36799999999999999</v>
      </c>
      <c r="L25" s="4">
        <f t="shared" si="2"/>
        <v>0.63200000000000001</v>
      </c>
    </row>
    <row r="26" spans="1:12" x14ac:dyDescent="0.3">
      <c r="A26" s="3" t="s">
        <v>68</v>
      </c>
      <c r="B26" s="3" t="s">
        <v>69</v>
      </c>
      <c r="C26" s="3" t="s">
        <v>14</v>
      </c>
      <c r="D26" s="3">
        <v>81</v>
      </c>
      <c r="E26" s="3">
        <v>35</v>
      </c>
      <c r="F26" s="3">
        <v>93</v>
      </c>
      <c r="G26" s="3">
        <v>99</v>
      </c>
      <c r="H26" s="3">
        <v>79</v>
      </c>
      <c r="I26" s="3">
        <f t="shared" si="0"/>
        <v>387</v>
      </c>
      <c r="J26" s="3">
        <v>500</v>
      </c>
      <c r="K26" s="4">
        <f t="shared" si="1"/>
        <v>0.77400000000000002</v>
      </c>
      <c r="L26" s="4">
        <f t="shared" si="2"/>
        <v>0.22599999999999998</v>
      </c>
    </row>
    <row r="27" spans="1:12" x14ac:dyDescent="0.3">
      <c r="A27" s="3" t="s">
        <v>70</v>
      </c>
      <c r="B27" s="3" t="s">
        <v>71</v>
      </c>
      <c r="C27" s="3" t="s">
        <v>32</v>
      </c>
      <c r="D27" s="3">
        <v>38</v>
      </c>
      <c r="E27" s="3">
        <v>67</v>
      </c>
      <c r="F27" s="3">
        <v>85</v>
      </c>
      <c r="G27" s="3">
        <v>45</v>
      </c>
      <c r="H27" s="3">
        <v>10</v>
      </c>
      <c r="I27" s="3">
        <f t="shared" si="0"/>
        <v>245</v>
      </c>
      <c r="J27" s="3">
        <v>500</v>
      </c>
      <c r="K27" s="4">
        <f t="shared" si="1"/>
        <v>0.49</v>
      </c>
      <c r="L27" s="4">
        <f t="shared" si="2"/>
        <v>0.51</v>
      </c>
    </row>
    <row r="28" spans="1:12" x14ac:dyDescent="0.3">
      <c r="A28" s="3" t="s">
        <v>72</v>
      </c>
      <c r="B28" s="3" t="s">
        <v>73</v>
      </c>
      <c r="C28" s="3" t="s">
        <v>20</v>
      </c>
      <c r="D28" s="3">
        <v>99</v>
      </c>
      <c r="E28" s="3">
        <v>64</v>
      </c>
      <c r="F28" s="3">
        <v>53</v>
      </c>
      <c r="G28" s="3">
        <v>45</v>
      </c>
      <c r="H28" s="3">
        <v>29</v>
      </c>
      <c r="I28" s="3">
        <f t="shared" si="0"/>
        <v>290</v>
      </c>
      <c r="J28" s="3">
        <v>500</v>
      </c>
      <c r="K28" s="4">
        <f t="shared" si="1"/>
        <v>0.57999999999999996</v>
      </c>
      <c r="L28" s="4">
        <f t="shared" si="2"/>
        <v>0.42000000000000004</v>
      </c>
    </row>
    <row r="29" spans="1:12" x14ac:dyDescent="0.3">
      <c r="A29" s="3" t="s">
        <v>74</v>
      </c>
      <c r="B29" s="3" t="s">
        <v>75</v>
      </c>
      <c r="C29" s="3" t="s">
        <v>23</v>
      </c>
      <c r="D29" s="3">
        <v>53</v>
      </c>
      <c r="E29" s="3">
        <v>23</v>
      </c>
      <c r="F29" s="3">
        <v>21</v>
      </c>
      <c r="G29" s="3">
        <v>58</v>
      </c>
      <c r="H29" s="3">
        <v>22</v>
      </c>
      <c r="I29" s="3">
        <f t="shared" si="0"/>
        <v>177</v>
      </c>
      <c r="J29" s="3">
        <v>500</v>
      </c>
      <c r="K29" s="4">
        <f t="shared" si="1"/>
        <v>0.35399999999999998</v>
      </c>
      <c r="L29" s="4">
        <f t="shared" si="2"/>
        <v>0.64600000000000002</v>
      </c>
    </row>
    <row r="30" spans="1:12" x14ac:dyDescent="0.3">
      <c r="A30" s="3" t="s">
        <v>76</v>
      </c>
      <c r="B30" s="3" t="s">
        <v>77</v>
      </c>
      <c r="C30" s="3" t="s">
        <v>29</v>
      </c>
      <c r="D30" s="3">
        <v>54</v>
      </c>
      <c r="E30" s="3">
        <v>87</v>
      </c>
      <c r="F30" s="3">
        <v>43</v>
      </c>
      <c r="G30" s="3">
        <v>15</v>
      </c>
      <c r="H30" s="3">
        <v>68</v>
      </c>
      <c r="I30" s="3">
        <f t="shared" si="0"/>
        <v>267</v>
      </c>
      <c r="J30" s="3">
        <v>500</v>
      </c>
      <c r="K30" s="4">
        <f t="shared" si="1"/>
        <v>0.53400000000000003</v>
      </c>
      <c r="L30" s="4">
        <f t="shared" si="2"/>
        <v>0.46599999999999997</v>
      </c>
    </row>
    <row r="31" spans="1:12" x14ac:dyDescent="0.3">
      <c r="A31" s="3" t="s">
        <v>78</v>
      </c>
      <c r="B31" s="3" t="s">
        <v>79</v>
      </c>
      <c r="C31" s="3" t="s">
        <v>17</v>
      </c>
      <c r="D31" s="3">
        <v>58</v>
      </c>
      <c r="E31" s="3">
        <v>20</v>
      </c>
      <c r="F31" s="3">
        <v>80</v>
      </c>
      <c r="G31" s="3">
        <v>47</v>
      </c>
      <c r="H31" s="3">
        <v>90</v>
      </c>
      <c r="I31" s="3">
        <f t="shared" si="0"/>
        <v>295</v>
      </c>
      <c r="J31" s="3">
        <v>500</v>
      </c>
      <c r="K31" s="4">
        <f t="shared" si="1"/>
        <v>0.59</v>
      </c>
      <c r="L31" s="4">
        <f t="shared" si="2"/>
        <v>0.41000000000000003</v>
      </c>
    </row>
    <row r="32" spans="1:12" x14ac:dyDescent="0.3">
      <c r="A32" s="3" t="s">
        <v>80</v>
      </c>
      <c r="B32" s="3" t="s">
        <v>81</v>
      </c>
      <c r="C32" s="3" t="s">
        <v>29</v>
      </c>
      <c r="D32" s="3">
        <v>83</v>
      </c>
      <c r="E32" s="3">
        <v>34</v>
      </c>
      <c r="F32" s="3">
        <v>18</v>
      </c>
      <c r="G32" s="3">
        <v>15</v>
      </c>
      <c r="H32" s="3">
        <v>94</v>
      </c>
      <c r="I32" s="3">
        <f t="shared" si="0"/>
        <v>244</v>
      </c>
      <c r="J32" s="3">
        <v>500</v>
      </c>
      <c r="K32" s="4">
        <f t="shared" si="1"/>
        <v>0.48799999999999999</v>
      </c>
      <c r="L32" s="4">
        <f t="shared" si="2"/>
        <v>0.51200000000000001</v>
      </c>
    </row>
    <row r="33" spans="1:12" x14ac:dyDescent="0.3">
      <c r="A33" s="3" t="s">
        <v>82</v>
      </c>
      <c r="B33" s="3" t="s">
        <v>83</v>
      </c>
      <c r="C33" s="3" t="s">
        <v>23</v>
      </c>
      <c r="D33" s="3">
        <v>47</v>
      </c>
      <c r="E33" s="3">
        <v>20</v>
      </c>
      <c r="F33" s="3">
        <v>39</v>
      </c>
      <c r="G33" s="3">
        <v>22</v>
      </c>
      <c r="H33" s="3">
        <v>58</v>
      </c>
      <c r="I33" s="3">
        <f t="shared" si="0"/>
        <v>186</v>
      </c>
      <c r="J33" s="3">
        <v>500</v>
      </c>
      <c r="K33" s="4">
        <f t="shared" si="1"/>
        <v>0.372</v>
      </c>
      <c r="L33" s="4">
        <f t="shared" si="2"/>
        <v>0.628</v>
      </c>
    </row>
    <row r="34" spans="1:12" x14ac:dyDescent="0.3">
      <c r="A34" s="3" t="s">
        <v>84</v>
      </c>
      <c r="B34" s="3" t="s">
        <v>85</v>
      </c>
      <c r="C34" s="3" t="s">
        <v>26</v>
      </c>
      <c r="D34" s="3">
        <v>68</v>
      </c>
      <c r="E34" s="3">
        <v>91</v>
      </c>
      <c r="F34" s="3">
        <v>56</v>
      </c>
      <c r="G34" s="3">
        <v>30</v>
      </c>
      <c r="H34" s="3">
        <v>57</v>
      </c>
      <c r="I34" s="3">
        <f t="shared" ref="I34:I65" si="3">SUM(D34:H34)</f>
        <v>302</v>
      </c>
      <c r="J34" s="3">
        <v>500</v>
      </c>
      <c r="K34" s="4">
        <f t="shared" ref="K34:K65" si="4">I34/J34</f>
        <v>0.60399999999999998</v>
      </c>
      <c r="L34" s="4">
        <f t="shared" ref="L34:L65" si="5">1-K34</f>
        <v>0.39600000000000002</v>
      </c>
    </row>
    <row r="35" spans="1:12" x14ac:dyDescent="0.3">
      <c r="A35" s="3" t="s">
        <v>86</v>
      </c>
      <c r="B35" s="3" t="s">
        <v>87</v>
      </c>
      <c r="C35" s="3" t="s">
        <v>29</v>
      </c>
      <c r="D35" s="3">
        <v>36</v>
      </c>
      <c r="E35" s="3">
        <v>95</v>
      </c>
      <c r="F35" s="3">
        <v>44</v>
      </c>
      <c r="G35" s="3">
        <v>99</v>
      </c>
      <c r="H35" s="3">
        <v>97</v>
      </c>
      <c r="I35" s="3">
        <f t="shared" si="3"/>
        <v>371</v>
      </c>
      <c r="J35" s="3">
        <v>500</v>
      </c>
      <c r="K35" s="4">
        <f t="shared" si="4"/>
        <v>0.74199999999999999</v>
      </c>
      <c r="L35" s="4">
        <f t="shared" si="5"/>
        <v>0.25800000000000001</v>
      </c>
    </row>
    <row r="36" spans="1:12" x14ac:dyDescent="0.3">
      <c r="A36" s="3" t="s">
        <v>88</v>
      </c>
      <c r="B36" s="3" t="s">
        <v>89</v>
      </c>
      <c r="C36" s="3" t="s">
        <v>17</v>
      </c>
      <c r="D36" s="3">
        <v>87</v>
      </c>
      <c r="E36" s="3">
        <v>91</v>
      </c>
      <c r="F36" s="3">
        <v>31</v>
      </c>
      <c r="G36" s="3">
        <v>78</v>
      </c>
      <c r="H36" s="3">
        <v>41</v>
      </c>
      <c r="I36" s="3">
        <f t="shared" si="3"/>
        <v>328</v>
      </c>
      <c r="J36" s="3">
        <v>500</v>
      </c>
      <c r="K36" s="4">
        <f t="shared" si="4"/>
        <v>0.65600000000000003</v>
      </c>
      <c r="L36" s="4">
        <f t="shared" si="5"/>
        <v>0.34399999999999997</v>
      </c>
    </row>
    <row r="37" spans="1:12" x14ac:dyDescent="0.3">
      <c r="A37" s="3" t="s">
        <v>90</v>
      </c>
      <c r="B37" s="3" t="s">
        <v>91</v>
      </c>
      <c r="C37" s="3" t="s">
        <v>20</v>
      </c>
      <c r="D37" s="3">
        <v>69</v>
      </c>
      <c r="E37" s="3">
        <v>58</v>
      </c>
      <c r="F37" s="3">
        <v>44</v>
      </c>
      <c r="G37" s="3">
        <v>91</v>
      </c>
      <c r="H37" s="3">
        <v>98</v>
      </c>
      <c r="I37" s="3">
        <f t="shared" si="3"/>
        <v>360</v>
      </c>
      <c r="J37" s="3">
        <v>500</v>
      </c>
      <c r="K37" s="4">
        <f t="shared" si="4"/>
        <v>0.72</v>
      </c>
      <c r="L37" s="4">
        <f t="shared" si="5"/>
        <v>0.28000000000000003</v>
      </c>
    </row>
    <row r="38" spans="1:12" x14ac:dyDescent="0.3">
      <c r="A38" s="3" t="s">
        <v>92</v>
      </c>
      <c r="B38" s="3" t="s">
        <v>93</v>
      </c>
      <c r="C38" s="3" t="s">
        <v>23</v>
      </c>
      <c r="D38" s="3">
        <v>97</v>
      </c>
      <c r="E38" s="3">
        <v>51</v>
      </c>
      <c r="F38" s="3">
        <v>17</v>
      </c>
      <c r="G38" s="3">
        <v>39</v>
      </c>
      <c r="H38" s="3">
        <v>14</v>
      </c>
      <c r="I38" s="3">
        <f t="shared" si="3"/>
        <v>218</v>
      </c>
      <c r="J38" s="3">
        <v>500</v>
      </c>
      <c r="K38" s="4">
        <f t="shared" si="4"/>
        <v>0.436</v>
      </c>
      <c r="L38" s="4">
        <f t="shared" si="5"/>
        <v>0.56400000000000006</v>
      </c>
    </row>
    <row r="39" spans="1:12" x14ac:dyDescent="0.3">
      <c r="A39" s="3" t="s">
        <v>94</v>
      </c>
      <c r="B39" s="3" t="s">
        <v>95</v>
      </c>
      <c r="C39" s="3" t="s">
        <v>29</v>
      </c>
      <c r="D39" s="3">
        <v>61</v>
      </c>
      <c r="E39" s="3">
        <v>44</v>
      </c>
      <c r="F39" s="3">
        <v>18</v>
      </c>
      <c r="G39" s="3">
        <v>37</v>
      </c>
      <c r="H39" s="3">
        <v>82</v>
      </c>
      <c r="I39" s="3">
        <f t="shared" si="3"/>
        <v>242</v>
      </c>
      <c r="J39" s="3">
        <v>500</v>
      </c>
      <c r="K39" s="4">
        <f t="shared" si="4"/>
        <v>0.48399999999999999</v>
      </c>
      <c r="L39" s="4">
        <f t="shared" si="5"/>
        <v>0.51600000000000001</v>
      </c>
    </row>
    <row r="40" spans="1:12" x14ac:dyDescent="0.3">
      <c r="A40" s="3" t="s">
        <v>96</v>
      </c>
      <c r="B40" s="3" t="s">
        <v>97</v>
      </c>
      <c r="C40" s="3" t="s">
        <v>29</v>
      </c>
      <c r="D40" s="3">
        <v>37</v>
      </c>
      <c r="E40" s="3">
        <v>93</v>
      </c>
      <c r="F40" s="3">
        <v>73</v>
      </c>
      <c r="G40" s="3">
        <v>60</v>
      </c>
      <c r="H40" s="3">
        <v>92</v>
      </c>
      <c r="I40" s="3">
        <f t="shared" si="3"/>
        <v>355</v>
      </c>
      <c r="J40" s="3">
        <v>500</v>
      </c>
      <c r="K40" s="4">
        <f t="shared" si="4"/>
        <v>0.71</v>
      </c>
      <c r="L40" s="4">
        <f t="shared" si="5"/>
        <v>0.29000000000000004</v>
      </c>
    </row>
    <row r="41" spans="1:12" x14ac:dyDescent="0.3">
      <c r="A41" s="3" t="s">
        <v>98</v>
      </c>
      <c r="B41" s="3" t="s">
        <v>99</v>
      </c>
      <c r="C41" s="3" t="s">
        <v>35</v>
      </c>
      <c r="D41" s="3">
        <v>28</v>
      </c>
      <c r="E41" s="3">
        <v>43</v>
      </c>
      <c r="F41" s="3">
        <v>27</v>
      </c>
      <c r="G41" s="3">
        <v>41</v>
      </c>
      <c r="H41" s="3">
        <v>81</v>
      </c>
      <c r="I41" s="3">
        <f t="shared" si="3"/>
        <v>220</v>
      </c>
      <c r="J41" s="3">
        <v>500</v>
      </c>
      <c r="K41" s="4">
        <f t="shared" si="4"/>
        <v>0.44</v>
      </c>
      <c r="L41" s="4">
        <f t="shared" si="5"/>
        <v>0.56000000000000005</v>
      </c>
    </row>
    <row r="42" spans="1:12" x14ac:dyDescent="0.3">
      <c r="A42" s="3" t="s">
        <v>100</v>
      </c>
      <c r="B42" s="3" t="s">
        <v>101</v>
      </c>
      <c r="C42" s="3" t="s">
        <v>26</v>
      </c>
      <c r="D42" s="3">
        <v>84</v>
      </c>
      <c r="E42" s="3">
        <v>64</v>
      </c>
      <c r="F42" s="3">
        <v>84</v>
      </c>
      <c r="G42" s="3">
        <v>61</v>
      </c>
      <c r="H42" s="3">
        <v>56</v>
      </c>
      <c r="I42" s="3">
        <f t="shared" si="3"/>
        <v>349</v>
      </c>
      <c r="J42" s="3">
        <v>500</v>
      </c>
      <c r="K42" s="4">
        <f t="shared" si="4"/>
        <v>0.69799999999999995</v>
      </c>
      <c r="L42" s="4">
        <f t="shared" si="5"/>
        <v>0.30200000000000005</v>
      </c>
    </row>
    <row r="43" spans="1:12" x14ac:dyDescent="0.3">
      <c r="A43" s="3" t="s">
        <v>102</v>
      </c>
      <c r="B43" s="3" t="s">
        <v>103</v>
      </c>
      <c r="C43" s="3" t="s">
        <v>23</v>
      </c>
      <c r="D43" s="3">
        <v>27</v>
      </c>
      <c r="E43" s="3">
        <v>75</v>
      </c>
      <c r="F43" s="3">
        <v>73</v>
      </c>
      <c r="G43" s="3">
        <v>21</v>
      </c>
      <c r="H43" s="3">
        <v>16</v>
      </c>
      <c r="I43" s="3">
        <f t="shared" si="3"/>
        <v>212</v>
      </c>
      <c r="J43" s="3">
        <v>500</v>
      </c>
      <c r="K43" s="4">
        <f t="shared" si="4"/>
        <v>0.42399999999999999</v>
      </c>
      <c r="L43" s="4">
        <f t="shared" si="5"/>
        <v>0.57600000000000007</v>
      </c>
    </row>
    <row r="44" spans="1:12" x14ac:dyDescent="0.3">
      <c r="A44" s="3" t="s">
        <v>104</v>
      </c>
      <c r="B44" s="3" t="s">
        <v>105</v>
      </c>
      <c r="C44" s="3" t="s">
        <v>17</v>
      </c>
      <c r="D44" s="3">
        <v>29</v>
      </c>
      <c r="E44" s="3">
        <v>90</v>
      </c>
      <c r="F44" s="3">
        <v>30</v>
      </c>
      <c r="G44" s="3">
        <v>97</v>
      </c>
      <c r="H44" s="3">
        <v>64</v>
      </c>
      <c r="I44" s="3">
        <f t="shared" si="3"/>
        <v>310</v>
      </c>
      <c r="J44" s="3">
        <v>500</v>
      </c>
      <c r="K44" s="4">
        <f t="shared" si="4"/>
        <v>0.62</v>
      </c>
      <c r="L44" s="4">
        <f t="shared" si="5"/>
        <v>0.38</v>
      </c>
    </row>
    <row r="45" spans="1:12" x14ac:dyDescent="0.3">
      <c r="A45" s="3" t="s">
        <v>106</v>
      </c>
      <c r="B45" s="3" t="s">
        <v>107</v>
      </c>
      <c r="C45" s="3" t="s">
        <v>17</v>
      </c>
      <c r="D45" s="3">
        <v>59</v>
      </c>
      <c r="E45" s="3">
        <v>58</v>
      </c>
      <c r="F45" s="3">
        <v>86</v>
      </c>
      <c r="G45" s="3">
        <v>69</v>
      </c>
      <c r="H45" s="3">
        <v>77</v>
      </c>
      <c r="I45" s="3">
        <f t="shared" si="3"/>
        <v>349</v>
      </c>
      <c r="J45" s="3">
        <v>500</v>
      </c>
      <c r="K45" s="4">
        <f t="shared" si="4"/>
        <v>0.69799999999999995</v>
      </c>
      <c r="L45" s="4">
        <f t="shared" si="5"/>
        <v>0.30200000000000005</v>
      </c>
    </row>
    <row r="46" spans="1:12" x14ac:dyDescent="0.3">
      <c r="A46" s="3" t="s">
        <v>108</v>
      </c>
      <c r="B46" s="3" t="s">
        <v>109</v>
      </c>
      <c r="C46" s="3" t="s">
        <v>26</v>
      </c>
      <c r="D46" s="3">
        <v>80</v>
      </c>
      <c r="E46" s="3">
        <v>11</v>
      </c>
      <c r="F46" s="3">
        <v>97</v>
      </c>
      <c r="G46" s="3">
        <v>24</v>
      </c>
      <c r="H46" s="3">
        <v>97</v>
      </c>
      <c r="I46" s="3">
        <f t="shared" si="3"/>
        <v>309</v>
      </c>
      <c r="J46" s="3">
        <v>500</v>
      </c>
      <c r="K46" s="4">
        <f t="shared" si="4"/>
        <v>0.61799999999999999</v>
      </c>
      <c r="L46" s="4">
        <f t="shared" si="5"/>
        <v>0.38200000000000001</v>
      </c>
    </row>
    <row r="47" spans="1:12" x14ac:dyDescent="0.3">
      <c r="A47" s="3" t="s">
        <v>110</v>
      </c>
      <c r="B47" s="3" t="s">
        <v>111</v>
      </c>
      <c r="C47" s="3" t="s">
        <v>26</v>
      </c>
      <c r="D47" s="3">
        <v>92</v>
      </c>
      <c r="E47" s="3">
        <v>53</v>
      </c>
      <c r="F47" s="3">
        <v>24</v>
      </c>
      <c r="G47" s="3">
        <v>47</v>
      </c>
      <c r="H47" s="3">
        <v>65</v>
      </c>
      <c r="I47" s="3">
        <f t="shared" si="3"/>
        <v>281</v>
      </c>
      <c r="J47" s="3">
        <v>500</v>
      </c>
      <c r="K47" s="4">
        <f t="shared" si="4"/>
        <v>0.56200000000000006</v>
      </c>
      <c r="L47" s="4">
        <f t="shared" si="5"/>
        <v>0.43799999999999994</v>
      </c>
    </row>
    <row r="48" spans="1:12" x14ac:dyDescent="0.3">
      <c r="A48" s="3" t="s">
        <v>112</v>
      </c>
      <c r="B48" s="3" t="s">
        <v>113</v>
      </c>
      <c r="C48" s="3" t="s">
        <v>20</v>
      </c>
      <c r="D48" s="3">
        <v>68</v>
      </c>
      <c r="E48" s="3">
        <v>10</v>
      </c>
      <c r="F48" s="3">
        <v>43</v>
      </c>
      <c r="G48" s="3">
        <v>74</v>
      </c>
      <c r="H48" s="3">
        <v>32</v>
      </c>
      <c r="I48" s="3">
        <f t="shared" si="3"/>
        <v>227</v>
      </c>
      <c r="J48" s="3">
        <v>500</v>
      </c>
      <c r="K48" s="4">
        <f t="shared" si="4"/>
        <v>0.45400000000000001</v>
      </c>
      <c r="L48" s="4">
        <f t="shared" si="5"/>
        <v>0.54600000000000004</v>
      </c>
    </row>
    <row r="49" spans="1:12" x14ac:dyDescent="0.3">
      <c r="A49" s="3" t="s">
        <v>114</v>
      </c>
      <c r="B49" s="3" t="s">
        <v>115</v>
      </c>
      <c r="C49" s="3" t="s">
        <v>17</v>
      </c>
      <c r="D49" s="3">
        <v>90</v>
      </c>
      <c r="E49" s="3">
        <v>48</v>
      </c>
      <c r="F49" s="3">
        <v>91</v>
      </c>
      <c r="G49" s="3">
        <v>74</v>
      </c>
      <c r="H49" s="3">
        <v>87</v>
      </c>
      <c r="I49" s="3">
        <f t="shared" si="3"/>
        <v>390</v>
      </c>
      <c r="J49" s="3">
        <v>500</v>
      </c>
      <c r="K49" s="4">
        <f t="shared" si="4"/>
        <v>0.78</v>
      </c>
      <c r="L49" s="4">
        <f t="shared" si="5"/>
        <v>0.21999999999999997</v>
      </c>
    </row>
    <row r="50" spans="1:12" x14ac:dyDescent="0.3">
      <c r="A50" s="3" t="s">
        <v>116</v>
      </c>
      <c r="B50" s="3" t="s">
        <v>117</v>
      </c>
      <c r="C50" s="3" t="s">
        <v>23</v>
      </c>
      <c r="D50" s="3">
        <v>29</v>
      </c>
      <c r="E50" s="3">
        <v>57</v>
      </c>
      <c r="F50" s="3">
        <v>30</v>
      </c>
      <c r="G50" s="3">
        <v>79</v>
      </c>
      <c r="H50" s="3">
        <v>77</v>
      </c>
      <c r="I50" s="3">
        <f t="shared" si="3"/>
        <v>272</v>
      </c>
      <c r="J50" s="3">
        <v>500</v>
      </c>
      <c r="K50" s="4">
        <f t="shared" si="4"/>
        <v>0.54400000000000004</v>
      </c>
      <c r="L50" s="4">
        <f t="shared" si="5"/>
        <v>0.45599999999999996</v>
      </c>
    </row>
    <row r="51" spans="1:12" x14ac:dyDescent="0.3">
      <c r="A51" s="3" t="s">
        <v>118</v>
      </c>
      <c r="B51" s="3" t="s">
        <v>119</v>
      </c>
      <c r="C51" s="3" t="s">
        <v>14</v>
      </c>
      <c r="D51" s="3">
        <v>86</v>
      </c>
      <c r="E51" s="3">
        <v>51</v>
      </c>
      <c r="F51" s="3">
        <v>72</v>
      </c>
      <c r="G51" s="3">
        <v>12</v>
      </c>
      <c r="H51" s="3">
        <v>24</v>
      </c>
      <c r="I51" s="3">
        <f t="shared" si="3"/>
        <v>245</v>
      </c>
      <c r="J51" s="3">
        <v>500</v>
      </c>
      <c r="K51" s="4">
        <f t="shared" si="4"/>
        <v>0.49</v>
      </c>
      <c r="L51" s="4">
        <f t="shared" si="5"/>
        <v>0.51</v>
      </c>
    </row>
    <row r="52" spans="1:12" x14ac:dyDescent="0.3">
      <c r="A52" s="3" t="s">
        <v>120</v>
      </c>
      <c r="B52" s="3" t="s">
        <v>121</v>
      </c>
      <c r="C52" s="3" t="s">
        <v>29</v>
      </c>
      <c r="D52" s="3">
        <v>49</v>
      </c>
      <c r="E52" s="3">
        <v>40</v>
      </c>
      <c r="F52" s="3">
        <v>17</v>
      </c>
      <c r="G52" s="3">
        <v>40</v>
      </c>
      <c r="H52" s="3">
        <v>82</v>
      </c>
      <c r="I52" s="3">
        <f t="shared" si="3"/>
        <v>228</v>
      </c>
      <c r="J52" s="3">
        <v>500</v>
      </c>
      <c r="K52" s="4">
        <f t="shared" si="4"/>
        <v>0.45600000000000002</v>
      </c>
      <c r="L52" s="4">
        <f t="shared" si="5"/>
        <v>0.54400000000000004</v>
      </c>
    </row>
    <row r="53" spans="1:12" x14ac:dyDescent="0.3">
      <c r="A53" s="3" t="s">
        <v>122</v>
      </c>
      <c r="B53" s="3" t="s">
        <v>123</v>
      </c>
      <c r="C53" s="3" t="s">
        <v>17</v>
      </c>
      <c r="D53" s="3">
        <v>20</v>
      </c>
      <c r="E53" s="3">
        <v>72</v>
      </c>
      <c r="F53" s="3">
        <v>18</v>
      </c>
      <c r="G53" s="3">
        <v>78</v>
      </c>
      <c r="H53" s="3">
        <v>26</v>
      </c>
      <c r="I53" s="3">
        <f t="shared" si="3"/>
        <v>214</v>
      </c>
      <c r="J53" s="3">
        <v>500</v>
      </c>
      <c r="K53" s="4">
        <f t="shared" si="4"/>
        <v>0.42799999999999999</v>
      </c>
      <c r="L53" s="4">
        <f t="shared" si="5"/>
        <v>0.57200000000000006</v>
      </c>
    </row>
    <row r="54" spans="1:12" x14ac:dyDescent="0.3">
      <c r="A54" s="3" t="s">
        <v>124</v>
      </c>
      <c r="B54" s="3" t="s">
        <v>125</v>
      </c>
      <c r="C54" s="3" t="s">
        <v>20</v>
      </c>
      <c r="D54" s="3">
        <v>94</v>
      </c>
      <c r="E54" s="3">
        <v>70</v>
      </c>
      <c r="F54" s="3">
        <v>80</v>
      </c>
      <c r="G54" s="3">
        <v>31</v>
      </c>
      <c r="H54" s="3">
        <v>43</v>
      </c>
      <c r="I54" s="3">
        <f t="shared" si="3"/>
        <v>318</v>
      </c>
      <c r="J54" s="3">
        <v>500</v>
      </c>
      <c r="K54" s="4">
        <f t="shared" si="4"/>
        <v>0.63600000000000001</v>
      </c>
      <c r="L54" s="4">
        <f t="shared" si="5"/>
        <v>0.36399999999999999</v>
      </c>
    </row>
    <row r="55" spans="1:12" x14ac:dyDescent="0.3">
      <c r="A55" s="3" t="s">
        <v>126</v>
      </c>
      <c r="B55" s="3" t="s">
        <v>127</v>
      </c>
      <c r="C55" s="3" t="s">
        <v>32</v>
      </c>
      <c r="D55" s="3">
        <v>37</v>
      </c>
      <c r="E55" s="3">
        <v>79</v>
      </c>
      <c r="F55" s="3">
        <v>98</v>
      </c>
      <c r="G55" s="3">
        <v>35</v>
      </c>
      <c r="H55" s="3">
        <v>49</v>
      </c>
      <c r="I55" s="3">
        <f t="shared" si="3"/>
        <v>298</v>
      </c>
      <c r="J55" s="3">
        <v>500</v>
      </c>
      <c r="K55" s="4">
        <f t="shared" si="4"/>
        <v>0.59599999999999997</v>
      </c>
      <c r="L55" s="4">
        <f t="shared" si="5"/>
        <v>0.40400000000000003</v>
      </c>
    </row>
    <row r="56" spans="1:12" x14ac:dyDescent="0.3">
      <c r="A56" s="3" t="s">
        <v>128</v>
      </c>
      <c r="B56" s="3" t="s">
        <v>129</v>
      </c>
      <c r="C56" s="3" t="s">
        <v>32</v>
      </c>
      <c r="D56" s="3">
        <v>95</v>
      </c>
      <c r="E56" s="3">
        <v>93</v>
      </c>
      <c r="F56" s="3">
        <v>57</v>
      </c>
      <c r="G56" s="3">
        <v>66</v>
      </c>
      <c r="H56" s="3">
        <v>76</v>
      </c>
      <c r="I56" s="3">
        <f t="shared" si="3"/>
        <v>387</v>
      </c>
      <c r="J56" s="3">
        <v>500</v>
      </c>
      <c r="K56" s="4">
        <f t="shared" si="4"/>
        <v>0.77400000000000002</v>
      </c>
      <c r="L56" s="4">
        <f t="shared" si="5"/>
        <v>0.22599999999999998</v>
      </c>
    </row>
    <row r="57" spans="1:12" x14ac:dyDescent="0.3">
      <c r="A57" s="3" t="s">
        <v>130</v>
      </c>
      <c r="B57" s="3" t="s">
        <v>131</v>
      </c>
      <c r="C57" s="3" t="s">
        <v>35</v>
      </c>
      <c r="D57" s="3">
        <v>25</v>
      </c>
      <c r="E57" s="3">
        <v>41</v>
      </c>
      <c r="F57" s="3">
        <v>38</v>
      </c>
      <c r="G57" s="3">
        <v>18</v>
      </c>
      <c r="H57" s="3">
        <v>53</v>
      </c>
      <c r="I57" s="3">
        <f t="shared" si="3"/>
        <v>175</v>
      </c>
      <c r="J57" s="3">
        <v>500</v>
      </c>
      <c r="K57" s="4">
        <f t="shared" si="4"/>
        <v>0.35</v>
      </c>
      <c r="L57" s="4">
        <f t="shared" si="5"/>
        <v>0.65</v>
      </c>
    </row>
    <row r="58" spans="1:12" x14ac:dyDescent="0.3">
      <c r="A58" s="3" t="s">
        <v>132</v>
      </c>
      <c r="B58" s="3" t="s">
        <v>133</v>
      </c>
      <c r="C58" s="3" t="s">
        <v>14</v>
      </c>
      <c r="D58" s="3">
        <v>85</v>
      </c>
      <c r="E58" s="3">
        <v>80</v>
      </c>
      <c r="F58" s="3">
        <v>39</v>
      </c>
      <c r="G58" s="3">
        <v>85</v>
      </c>
      <c r="H58" s="3">
        <v>38</v>
      </c>
      <c r="I58" s="3">
        <f t="shared" si="3"/>
        <v>327</v>
      </c>
      <c r="J58" s="3">
        <v>500</v>
      </c>
      <c r="K58" s="4">
        <f t="shared" si="4"/>
        <v>0.65400000000000003</v>
      </c>
      <c r="L58" s="4">
        <f t="shared" si="5"/>
        <v>0.34599999999999997</v>
      </c>
    </row>
    <row r="59" spans="1:12" x14ac:dyDescent="0.3">
      <c r="A59" s="3" t="s">
        <v>134</v>
      </c>
      <c r="B59" s="3" t="s">
        <v>135</v>
      </c>
      <c r="C59" s="3" t="s">
        <v>14</v>
      </c>
      <c r="D59" s="3">
        <v>19</v>
      </c>
      <c r="E59" s="3">
        <v>90</v>
      </c>
      <c r="F59" s="3">
        <v>17</v>
      </c>
      <c r="G59" s="3">
        <v>39</v>
      </c>
      <c r="H59" s="3">
        <v>18</v>
      </c>
      <c r="I59" s="3">
        <f t="shared" si="3"/>
        <v>183</v>
      </c>
      <c r="J59" s="3">
        <v>500</v>
      </c>
      <c r="K59" s="4">
        <f t="shared" si="4"/>
        <v>0.36599999999999999</v>
      </c>
      <c r="L59" s="4">
        <f t="shared" si="5"/>
        <v>0.63400000000000001</v>
      </c>
    </row>
    <row r="60" spans="1:12" x14ac:dyDescent="0.3">
      <c r="A60" s="3" t="s">
        <v>136</v>
      </c>
      <c r="B60" s="3" t="s">
        <v>137</v>
      </c>
      <c r="C60" s="3" t="s">
        <v>14</v>
      </c>
      <c r="D60" s="3">
        <v>52</v>
      </c>
      <c r="E60" s="3">
        <v>19</v>
      </c>
      <c r="F60" s="3">
        <v>75</v>
      </c>
      <c r="G60" s="3">
        <v>40</v>
      </c>
      <c r="H60" s="3">
        <v>45</v>
      </c>
      <c r="I60" s="3">
        <f t="shared" si="3"/>
        <v>231</v>
      </c>
      <c r="J60" s="3">
        <v>500</v>
      </c>
      <c r="K60" s="4">
        <f t="shared" si="4"/>
        <v>0.46200000000000002</v>
      </c>
      <c r="L60" s="4">
        <f t="shared" si="5"/>
        <v>0.53800000000000003</v>
      </c>
    </row>
    <row r="61" spans="1:12" x14ac:dyDescent="0.3">
      <c r="A61" s="3" t="s">
        <v>138</v>
      </c>
      <c r="B61" s="3" t="s">
        <v>139</v>
      </c>
      <c r="C61" s="3" t="s">
        <v>35</v>
      </c>
      <c r="D61" s="3">
        <v>37</v>
      </c>
      <c r="E61" s="3">
        <v>79</v>
      </c>
      <c r="F61" s="3">
        <v>26</v>
      </c>
      <c r="G61" s="3">
        <v>83</v>
      </c>
      <c r="H61" s="3">
        <v>83</v>
      </c>
      <c r="I61" s="3">
        <f t="shared" si="3"/>
        <v>308</v>
      </c>
      <c r="J61" s="3">
        <v>500</v>
      </c>
      <c r="K61" s="4">
        <f t="shared" si="4"/>
        <v>0.61599999999999999</v>
      </c>
      <c r="L61" s="4">
        <f t="shared" si="5"/>
        <v>0.38400000000000001</v>
      </c>
    </row>
    <row r="62" spans="1:12" x14ac:dyDescent="0.3">
      <c r="A62" s="3" t="s">
        <v>140</v>
      </c>
      <c r="B62" s="3" t="s">
        <v>141</v>
      </c>
      <c r="C62" s="3" t="s">
        <v>35</v>
      </c>
      <c r="D62" s="3">
        <v>41</v>
      </c>
      <c r="E62" s="3">
        <v>70</v>
      </c>
      <c r="F62" s="3">
        <v>62</v>
      </c>
      <c r="G62" s="3">
        <v>34</v>
      </c>
      <c r="H62" s="3">
        <v>22</v>
      </c>
      <c r="I62" s="3">
        <f t="shared" si="3"/>
        <v>229</v>
      </c>
      <c r="J62" s="3">
        <v>500</v>
      </c>
      <c r="K62" s="4">
        <f t="shared" si="4"/>
        <v>0.45800000000000002</v>
      </c>
      <c r="L62" s="4">
        <f t="shared" si="5"/>
        <v>0.54200000000000004</v>
      </c>
    </row>
    <row r="63" spans="1:12" x14ac:dyDescent="0.3">
      <c r="A63" s="3" t="s">
        <v>142</v>
      </c>
      <c r="B63" s="3" t="s">
        <v>143</v>
      </c>
      <c r="C63" s="3" t="s">
        <v>17</v>
      </c>
      <c r="D63" s="3">
        <v>94</v>
      </c>
      <c r="E63" s="3">
        <v>65</v>
      </c>
      <c r="F63" s="3">
        <v>55</v>
      </c>
      <c r="G63" s="3">
        <v>64</v>
      </c>
      <c r="H63" s="3">
        <v>62</v>
      </c>
      <c r="I63" s="3">
        <f t="shared" si="3"/>
        <v>340</v>
      </c>
      <c r="J63" s="3">
        <v>500</v>
      </c>
      <c r="K63" s="4">
        <f t="shared" si="4"/>
        <v>0.68</v>
      </c>
      <c r="L63" s="4">
        <f t="shared" si="5"/>
        <v>0.31999999999999995</v>
      </c>
    </row>
    <row r="64" spans="1:12" x14ac:dyDescent="0.3">
      <c r="A64" s="3" t="s">
        <v>144</v>
      </c>
      <c r="B64" s="3" t="s">
        <v>145</v>
      </c>
      <c r="C64" s="3" t="s">
        <v>35</v>
      </c>
      <c r="D64" s="3">
        <v>16</v>
      </c>
      <c r="E64" s="3">
        <v>96</v>
      </c>
      <c r="F64" s="3">
        <v>93</v>
      </c>
      <c r="G64" s="3">
        <v>92</v>
      </c>
      <c r="H64" s="3">
        <v>22</v>
      </c>
      <c r="I64" s="3">
        <f t="shared" si="3"/>
        <v>319</v>
      </c>
      <c r="J64" s="3">
        <v>500</v>
      </c>
      <c r="K64" s="4">
        <f t="shared" si="4"/>
        <v>0.63800000000000001</v>
      </c>
      <c r="L64" s="4">
        <f t="shared" si="5"/>
        <v>0.36199999999999999</v>
      </c>
    </row>
    <row r="65" spans="1:12" x14ac:dyDescent="0.3">
      <c r="A65" s="3" t="s">
        <v>146</v>
      </c>
      <c r="B65" s="3" t="s">
        <v>147</v>
      </c>
      <c r="C65" s="3" t="s">
        <v>14</v>
      </c>
      <c r="D65" s="3">
        <v>61</v>
      </c>
      <c r="E65" s="3">
        <v>53</v>
      </c>
      <c r="F65" s="3">
        <v>23</v>
      </c>
      <c r="G65" s="3">
        <v>41</v>
      </c>
      <c r="H65" s="3">
        <v>34</v>
      </c>
      <c r="I65" s="3">
        <f t="shared" si="3"/>
        <v>212</v>
      </c>
      <c r="J65" s="3">
        <v>500</v>
      </c>
      <c r="K65" s="4">
        <f t="shared" si="4"/>
        <v>0.42399999999999999</v>
      </c>
      <c r="L65" s="4">
        <f t="shared" si="5"/>
        <v>0.57600000000000007</v>
      </c>
    </row>
    <row r="66" spans="1:12" x14ac:dyDescent="0.3">
      <c r="A66" s="3" t="s">
        <v>148</v>
      </c>
      <c r="B66" s="3" t="s">
        <v>149</v>
      </c>
      <c r="C66" s="3" t="s">
        <v>23</v>
      </c>
      <c r="D66" s="3">
        <v>78</v>
      </c>
      <c r="E66" s="3">
        <v>67</v>
      </c>
      <c r="F66" s="3">
        <v>27</v>
      </c>
      <c r="G66" s="3">
        <v>64</v>
      </c>
      <c r="H66" s="3">
        <v>33</v>
      </c>
      <c r="I66" s="3">
        <f t="shared" ref="I66:I97" si="6">SUM(D66:H66)</f>
        <v>269</v>
      </c>
      <c r="J66" s="3">
        <v>500</v>
      </c>
      <c r="K66" s="4">
        <f t="shared" ref="K66:K97" si="7">I66/J66</f>
        <v>0.53800000000000003</v>
      </c>
      <c r="L66" s="4">
        <f t="shared" ref="L66:L97" si="8">1-K66</f>
        <v>0.46199999999999997</v>
      </c>
    </row>
    <row r="67" spans="1:12" x14ac:dyDescent="0.3">
      <c r="A67" s="3" t="s">
        <v>150</v>
      </c>
      <c r="B67" s="3" t="s">
        <v>151</v>
      </c>
      <c r="C67" s="3" t="s">
        <v>26</v>
      </c>
      <c r="D67" s="3">
        <v>69</v>
      </c>
      <c r="E67" s="3">
        <v>41</v>
      </c>
      <c r="F67" s="3">
        <v>19</v>
      </c>
      <c r="G67" s="3">
        <v>66</v>
      </c>
      <c r="H67" s="3">
        <v>80</v>
      </c>
      <c r="I67" s="3">
        <f t="shared" si="6"/>
        <v>275</v>
      </c>
      <c r="J67" s="3">
        <v>500</v>
      </c>
      <c r="K67" s="4">
        <f t="shared" si="7"/>
        <v>0.55000000000000004</v>
      </c>
      <c r="L67" s="4">
        <f t="shared" si="8"/>
        <v>0.44999999999999996</v>
      </c>
    </row>
    <row r="68" spans="1:12" x14ac:dyDescent="0.3">
      <c r="A68" s="3" t="s">
        <v>152</v>
      </c>
      <c r="B68" s="3" t="s">
        <v>153</v>
      </c>
      <c r="C68" s="3" t="s">
        <v>17</v>
      </c>
      <c r="D68" s="3">
        <v>16</v>
      </c>
      <c r="E68" s="3">
        <v>93</v>
      </c>
      <c r="F68" s="3">
        <v>79</v>
      </c>
      <c r="G68" s="3">
        <v>11</v>
      </c>
      <c r="H68" s="3">
        <v>21</v>
      </c>
      <c r="I68" s="3">
        <f t="shared" si="6"/>
        <v>220</v>
      </c>
      <c r="J68" s="3">
        <v>500</v>
      </c>
      <c r="K68" s="4">
        <f t="shared" si="7"/>
        <v>0.44</v>
      </c>
      <c r="L68" s="4">
        <f t="shared" si="8"/>
        <v>0.56000000000000005</v>
      </c>
    </row>
    <row r="69" spans="1:12" x14ac:dyDescent="0.3">
      <c r="A69" s="3" t="s">
        <v>154</v>
      </c>
      <c r="B69" s="3" t="s">
        <v>155</v>
      </c>
      <c r="C69" s="3" t="s">
        <v>23</v>
      </c>
      <c r="D69" s="3">
        <v>31</v>
      </c>
      <c r="E69" s="3">
        <v>62</v>
      </c>
      <c r="F69" s="3">
        <v>72</v>
      </c>
      <c r="G69" s="3">
        <v>71</v>
      </c>
      <c r="H69" s="3">
        <v>37</v>
      </c>
      <c r="I69" s="3">
        <f t="shared" si="6"/>
        <v>273</v>
      </c>
      <c r="J69" s="3">
        <v>500</v>
      </c>
      <c r="K69" s="4">
        <f t="shared" si="7"/>
        <v>0.54600000000000004</v>
      </c>
      <c r="L69" s="4">
        <f t="shared" si="8"/>
        <v>0.45399999999999996</v>
      </c>
    </row>
    <row r="70" spans="1:12" x14ac:dyDescent="0.3">
      <c r="A70" s="3" t="s">
        <v>156</v>
      </c>
      <c r="B70" s="3" t="s">
        <v>157</v>
      </c>
      <c r="C70" s="3" t="s">
        <v>32</v>
      </c>
      <c r="D70" s="3">
        <v>17</v>
      </c>
      <c r="E70" s="3">
        <v>31</v>
      </c>
      <c r="F70" s="3">
        <v>58</v>
      </c>
      <c r="G70" s="3">
        <v>10</v>
      </c>
      <c r="H70" s="3">
        <v>59</v>
      </c>
      <c r="I70" s="3">
        <f t="shared" si="6"/>
        <v>175</v>
      </c>
      <c r="J70" s="3">
        <v>500</v>
      </c>
      <c r="K70" s="4">
        <f t="shared" si="7"/>
        <v>0.35</v>
      </c>
      <c r="L70" s="4">
        <f t="shared" si="8"/>
        <v>0.65</v>
      </c>
    </row>
    <row r="71" spans="1:12" x14ac:dyDescent="0.3">
      <c r="A71" s="3" t="s">
        <v>158</v>
      </c>
      <c r="B71" s="3" t="s">
        <v>159</v>
      </c>
      <c r="C71" s="3" t="s">
        <v>26</v>
      </c>
      <c r="D71" s="3">
        <v>68</v>
      </c>
      <c r="E71" s="3">
        <v>46</v>
      </c>
      <c r="F71" s="3">
        <v>64</v>
      </c>
      <c r="G71" s="3">
        <v>99</v>
      </c>
      <c r="H71" s="3">
        <v>81</v>
      </c>
      <c r="I71" s="3">
        <f t="shared" si="6"/>
        <v>358</v>
      </c>
      <c r="J71" s="3">
        <v>500</v>
      </c>
      <c r="K71" s="4">
        <f t="shared" si="7"/>
        <v>0.71599999999999997</v>
      </c>
      <c r="L71" s="4">
        <f t="shared" si="8"/>
        <v>0.28400000000000003</v>
      </c>
    </row>
    <row r="72" spans="1:12" x14ac:dyDescent="0.3">
      <c r="A72" s="3" t="s">
        <v>160</v>
      </c>
      <c r="B72" s="3" t="s">
        <v>161</v>
      </c>
      <c r="C72" s="3" t="s">
        <v>35</v>
      </c>
      <c r="D72" s="3">
        <v>29</v>
      </c>
      <c r="E72" s="3">
        <v>34</v>
      </c>
      <c r="F72" s="3">
        <v>47</v>
      </c>
      <c r="G72" s="3">
        <v>37</v>
      </c>
      <c r="H72" s="3">
        <v>17</v>
      </c>
      <c r="I72" s="3">
        <f t="shared" si="6"/>
        <v>164</v>
      </c>
      <c r="J72" s="3">
        <v>500</v>
      </c>
      <c r="K72" s="4">
        <f t="shared" si="7"/>
        <v>0.32800000000000001</v>
      </c>
      <c r="L72" s="4">
        <f t="shared" si="8"/>
        <v>0.67199999999999993</v>
      </c>
    </row>
    <row r="73" spans="1:12" x14ac:dyDescent="0.3">
      <c r="A73" s="3" t="s">
        <v>162</v>
      </c>
      <c r="B73" s="3" t="s">
        <v>63</v>
      </c>
      <c r="C73" s="3" t="s">
        <v>14</v>
      </c>
      <c r="D73" s="3">
        <v>50</v>
      </c>
      <c r="E73" s="3">
        <v>17</v>
      </c>
      <c r="F73" s="3">
        <v>16</v>
      </c>
      <c r="G73" s="3">
        <v>84</v>
      </c>
      <c r="H73" s="3">
        <v>71</v>
      </c>
      <c r="I73" s="3">
        <f t="shared" si="6"/>
        <v>238</v>
      </c>
      <c r="J73" s="3">
        <v>500</v>
      </c>
      <c r="K73" s="4">
        <f t="shared" si="7"/>
        <v>0.47599999999999998</v>
      </c>
      <c r="L73" s="4">
        <f t="shared" si="8"/>
        <v>0.52400000000000002</v>
      </c>
    </row>
    <row r="74" spans="1:12" x14ac:dyDescent="0.3">
      <c r="A74" s="3" t="s">
        <v>163</v>
      </c>
      <c r="B74" s="3" t="s">
        <v>65</v>
      </c>
      <c r="C74" s="3" t="s">
        <v>20</v>
      </c>
      <c r="D74" s="3">
        <v>17</v>
      </c>
      <c r="E74" s="3">
        <v>75</v>
      </c>
      <c r="F74" s="3">
        <v>20</v>
      </c>
      <c r="G74" s="3">
        <v>33</v>
      </c>
      <c r="H74" s="3">
        <v>18</v>
      </c>
      <c r="I74" s="3">
        <f t="shared" si="6"/>
        <v>163</v>
      </c>
      <c r="J74" s="3">
        <v>500</v>
      </c>
      <c r="K74" s="4">
        <f t="shared" si="7"/>
        <v>0.32600000000000001</v>
      </c>
      <c r="L74" s="4">
        <f t="shared" si="8"/>
        <v>0.67399999999999993</v>
      </c>
    </row>
    <row r="75" spans="1:12" x14ac:dyDescent="0.3">
      <c r="A75" s="3" t="s">
        <v>164</v>
      </c>
      <c r="B75" s="3" t="s">
        <v>67</v>
      </c>
      <c r="C75" s="3" t="s">
        <v>17</v>
      </c>
      <c r="D75" s="3">
        <v>96</v>
      </c>
      <c r="E75" s="3">
        <v>40</v>
      </c>
      <c r="F75" s="3">
        <v>61</v>
      </c>
      <c r="G75" s="3">
        <v>25</v>
      </c>
      <c r="H75" s="3">
        <v>82</v>
      </c>
      <c r="I75" s="3">
        <f t="shared" si="6"/>
        <v>304</v>
      </c>
      <c r="J75" s="3">
        <v>500</v>
      </c>
      <c r="K75" s="4">
        <f t="shared" si="7"/>
        <v>0.60799999999999998</v>
      </c>
      <c r="L75" s="4">
        <f t="shared" si="8"/>
        <v>0.39200000000000002</v>
      </c>
    </row>
    <row r="76" spans="1:12" x14ac:dyDescent="0.3">
      <c r="A76" s="3" t="s">
        <v>165</v>
      </c>
      <c r="B76" s="3" t="s">
        <v>69</v>
      </c>
      <c r="C76" s="3" t="s">
        <v>23</v>
      </c>
      <c r="D76" s="3">
        <v>84</v>
      </c>
      <c r="E76" s="3">
        <v>86</v>
      </c>
      <c r="F76" s="3">
        <v>15</v>
      </c>
      <c r="G76" s="3">
        <v>89</v>
      </c>
      <c r="H76" s="3">
        <v>20</v>
      </c>
      <c r="I76" s="3">
        <f t="shared" si="6"/>
        <v>294</v>
      </c>
      <c r="J76" s="3">
        <v>500</v>
      </c>
      <c r="K76" s="4">
        <f t="shared" si="7"/>
        <v>0.58799999999999997</v>
      </c>
      <c r="L76" s="4">
        <f t="shared" si="8"/>
        <v>0.41200000000000003</v>
      </c>
    </row>
    <row r="77" spans="1:12" x14ac:dyDescent="0.3">
      <c r="A77" s="3" t="s">
        <v>166</v>
      </c>
      <c r="B77" s="3" t="s">
        <v>71</v>
      </c>
      <c r="C77" s="3" t="s">
        <v>32</v>
      </c>
      <c r="D77" s="3">
        <v>94</v>
      </c>
      <c r="E77" s="3">
        <v>84</v>
      </c>
      <c r="F77" s="3">
        <v>82</v>
      </c>
      <c r="G77" s="3">
        <v>76</v>
      </c>
      <c r="H77" s="3">
        <v>50</v>
      </c>
      <c r="I77" s="3">
        <f t="shared" si="6"/>
        <v>386</v>
      </c>
      <c r="J77" s="3">
        <v>500</v>
      </c>
      <c r="K77" s="4">
        <f t="shared" si="7"/>
        <v>0.77200000000000002</v>
      </c>
      <c r="L77" s="4">
        <f t="shared" si="8"/>
        <v>0.22799999999999998</v>
      </c>
    </row>
    <row r="78" spans="1:12" x14ac:dyDescent="0.3">
      <c r="A78" s="3" t="s">
        <v>167</v>
      </c>
      <c r="B78" s="3" t="s">
        <v>73</v>
      </c>
      <c r="C78" s="3" t="s">
        <v>26</v>
      </c>
      <c r="D78" s="3">
        <v>36</v>
      </c>
      <c r="E78" s="3">
        <v>95</v>
      </c>
      <c r="F78" s="3">
        <v>50</v>
      </c>
      <c r="G78" s="3">
        <v>40</v>
      </c>
      <c r="H78" s="3">
        <v>43</v>
      </c>
      <c r="I78" s="3">
        <f t="shared" si="6"/>
        <v>264</v>
      </c>
      <c r="J78" s="3">
        <v>500</v>
      </c>
      <c r="K78" s="4">
        <f t="shared" si="7"/>
        <v>0.52800000000000002</v>
      </c>
      <c r="L78" s="4">
        <f t="shared" si="8"/>
        <v>0.47199999999999998</v>
      </c>
    </row>
    <row r="79" spans="1:12" x14ac:dyDescent="0.3">
      <c r="A79" s="3" t="s">
        <v>168</v>
      </c>
      <c r="B79" s="3" t="s">
        <v>75</v>
      </c>
      <c r="C79" s="3" t="s">
        <v>32</v>
      </c>
      <c r="D79" s="3">
        <v>26</v>
      </c>
      <c r="E79" s="3">
        <v>95</v>
      </c>
      <c r="F79" s="3">
        <v>92</v>
      </c>
      <c r="G79" s="3">
        <v>48</v>
      </c>
      <c r="H79" s="3">
        <v>68</v>
      </c>
      <c r="I79" s="3">
        <f t="shared" si="6"/>
        <v>329</v>
      </c>
      <c r="J79" s="3">
        <v>500</v>
      </c>
      <c r="K79" s="4">
        <f t="shared" si="7"/>
        <v>0.65800000000000003</v>
      </c>
      <c r="L79" s="4">
        <f t="shared" si="8"/>
        <v>0.34199999999999997</v>
      </c>
    </row>
    <row r="80" spans="1:12" x14ac:dyDescent="0.3">
      <c r="A80" s="3" t="s">
        <v>169</v>
      </c>
      <c r="B80" s="3" t="s">
        <v>77</v>
      </c>
      <c r="C80" s="3" t="s">
        <v>29</v>
      </c>
      <c r="D80" s="3">
        <v>19</v>
      </c>
      <c r="E80" s="3">
        <v>11</v>
      </c>
      <c r="F80" s="3">
        <v>68</v>
      </c>
      <c r="G80" s="3">
        <v>89</v>
      </c>
      <c r="H80" s="3">
        <v>82</v>
      </c>
      <c r="I80" s="3">
        <f t="shared" si="6"/>
        <v>269</v>
      </c>
      <c r="J80" s="3">
        <v>500</v>
      </c>
      <c r="K80" s="4">
        <f t="shared" si="7"/>
        <v>0.53800000000000003</v>
      </c>
      <c r="L80" s="4">
        <f t="shared" si="8"/>
        <v>0.46199999999999997</v>
      </c>
    </row>
    <row r="81" spans="1:12" x14ac:dyDescent="0.3">
      <c r="A81" s="3" t="s">
        <v>170</v>
      </c>
      <c r="B81" s="3" t="s">
        <v>79</v>
      </c>
      <c r="C81" s="3" t="s">
        <v>17</v>
      </c>
      <c r="D81" s="3">
        <v>19</v>
      </c>
      <c r="E81" s="3">
        <v>78</v>
      </c>
      <c r="F81" s="3">
        <v>37</v>
      </c>
      <c r="G81" s="3">
        <v>74</v>
      </c>
      <c r="H81" s="3">
        <v>43</v>
      </c>
      <c r="I81" s="3">
        <f t="shared" si="6"/>
        <v>251</v>
      </c>
      <c r="J81" s="3">
        <v>500</v>
      </c>
      <c r="K81" s="4">
        <f t="shared" si="7"/>
        <v>0.502</v>
      </c>
      <c r="L81" s="4">
        <f t="shared" si="8"/>
        <v>0.498</v>
      </c>
    </row>
    <row r="82" spans="1:12" x14ac:dyDescent="0.3">
      <c r="A82" s="3" t="s">
        <v>171</v>
      </c>
      <c r="B82" s="3" t="s">
        <v>81</v>
      </c>
      <c r="C82" s="3" t="s">
        <v>20</v>
      </c>
      <c r="D82" s="3">
        <v>54</v>
      </c>
      <c r="E82" s="3">
        <v>18</v>
      </c>
      <c r="F82" s="3">
        <v>41</v>
      </c>
      <c r="G82" s="3">
        <v>57</v>
      </c>
      <c r="H82" s="3">
        <v>46</v>
      </c>
      <c r="I82" s="3">
        <f t="shared" si="6"/>
        <v>216</v>
      </c>
      <c r="J82" s="3">
        <v>500</v>
      </c>
      <c r="K82" s="4">
        <f t="shared" si="7"/>
        <v>0.432</v>
      </c>
      <c r="L82" s="4">
        <f t="shared" si="8"/>
        <v>0.56800000000000006</v>
      </c>
    </row>
    <row r="83" spans="1:12" x14ac:dyDescent="0.3">
      <c r="A83" s="3" t="s">
        <v>172</v>
      </c>
      <c r="B83" s="3" t="s">
        <v>83</v>
      </c>
      <c r="C83" s="3" t="s">
        <v>20</v>
      </c>
      <c r="D83" s="3">
        <v>66</v>
      </c>
      <c r="E83" s="3">
        <v>79</v>
      </c>
      <c r="F83" s="3">
        <v>48</v>
      </c>
      <c r="G83" s="3">
        <v>88</v>
      </c>
      <c r="H83" s="3">
        <v>93</v>
      </c>
      <c r="I83" s="3">
        <f t="shared" si="6"/>
        <v>374</v>
      </c>
      <c r="J83" s="3">
        <v>500</v>
      </c>
      <c r="K83" s="4">
        <f t="shared" si="7"/>
        <v>0.748</v>
      </c>
      <c r="L83" s="4">
        <f t="shared" si="8"/>
        <v>0.252</v>
      </c>
    </row>
    <row r="84" spans="1:12" x14ac:dyDescent="0.3">
      <c r="A84" s="3" t="s">
        <v>173</v>
      </c>
      <c r="B84" s="3" t="s">
        <v>85</v>
      </c>
      <c r="C84" s="3" t="s">
        <v>14</v>
      </c>
      <c r="D84" s="3">
        <v>95</v>
      </c>
      <c r="E84" s="3">
        <v>80</v>
      </c>
      <c r="F84" s="3">
        <v>48</v>
      </c>
      <c r="G84" s="3">
        <v>94</v>
      </c>
      <c r="H84" s="3">
        <v>23</v>
      </c>
      <c r="I84" s="3">
        <f t="shared" si="6"/>
        <v>340</v>
      </c>
      <c r="J84" s="3">
        <v>500</v>
      </c>
      <c r="K84" s="4">
        <f t="shared" si="7"/>
        <v>0.68</v>
      </c>
      <c r="L84" s="4">
        <f t="shared" si="8"/>
        <v>0.31999999999999995</v>
      </c>
    </row>
    <row r="85" spans="1:12" x14ac:dyDescent="0.3">
      <c r="A85" s="3" t="s">
        <v>174</v>
      </c>
      <c r="B85" s="3" t="s">
        <v>87</v>
      </c>
      <c r="C85" s="3" t="s">
        <v>20</v>
      </c>
      <c r="D85" s="3">
        <v>43</v>
      </c>
      <c r="E85" s="3">
        <v>24</v>
      </c>
      <c r="F85" s="3">
        <v>23</v>
      </c>
      <c r="G85" s="3">
        <v>80</v>
      </c>
      <c r="H85" s="3">
        <v>29</v>
      </c>
      <c r="I85" s="3">
        <f t="shared" si="6"/>
        <v>199</v>
      </c>
      <c r="J85" s="3">
        <v>500</v>
      </c>
      <c r="K85" s="4">
        <f t="shared" si="7"/>
        <v>0.39800000000000002</v>
      </c>
      <c r="L85" s="4">
        <f t="shared" si="8"/>
        <v>0.60199999999999998</v>
      </c>
    </row>
    <row r="86" spans="1:12" x14ac:dyDescent="0.3">
      <c r="A86" s="3" t="s">
        <v>175</v>
      </c>
      <c r="B86" s="3" t="s">
        <v>89</v>
      </c>
      <c r="C86" s="3" t="s">
        <v>26</v>
      </c>
      <c r="D86" s="3">
        <v>46</v>
      </c>
      <c r="E86" s="3">
        <v>87</v>
      </c>
      <c r="F86" s="3">
        <v>36</v>
      </c>
      <c r="G86" s="3">
        <v>53</v>
      </c>
      <c r="H86" s="3">
        <v>36</v>
      </c>
      <c r="I86" s="3">
        <f t="shared" si="6"/>
        <v>258</v>
      </c>
      <c r="J86" s="3">
        <v>500</v>
      </c>
      <c r="K86" s="4">
        <f t="shared" si="7"/>
        <v>0.51600000000000001</v>
      </c>
      <c r="L86" s="4">
        <f t="shared" si="8"/>
        <v>0.48399999999999999</v>
      </c>
    </row>
    <row r="87" spans="1:12" x14ac:dyDescent="0.3">
      <c r="A87" s="3" t="s">
        <v>176</v>
      </c>
      <c r="B87" s="3" t="s">
        <v>91</v>
      </c>
      <c r="C87" s="3" t="s">
        <v>26</v>
      </c>
      <c r="D87" s="3">
        <v>74</v>
      </c>
      <c r="E87" s="3">
        <v>72</v>
      </c>
      <c r="F87" s="3">
        <v>42</v>
      </c>
      <c r="G87" s="3">
        <v>16</v>
      </c>
      <c r="H87" s="3">
        <v>21</v>
      </c>
      <c r="I87" s="3">
        <f t="shared" si="6"/>
        <v>225</v>
      </c>
      <c r="J87" s="3">
        <v>500</v>
      </c>
      <c r="K87" s="4">
        <f t="shared" si="7"/>
        <v>0.45</v>
      </c>
      <c r="L87" s="4">
        <f t="shared" si="8"/>
        <v>0.55000000000000004</v>
      </c>
    </row>
    <row r="88" spans="1:12" x14ac:dyDescent="0.3">
      <c r="A88" s="3" t="s">
        <v>177</v>
      </c>
      <c r="B88" s="3" t="s">
        <v>93</v>
      </c>
      <c r="C88" s="3" t="s">
        <v>32</v>
      </c>
      <c r="D88" s="3">
        <v>45</v>
      </c>
      <c r="E88" s="3">
        <v>15</v>
      </c>
      <c r="F88" s="3">
        <v>10</v>
      </c>
      <c r="G88" s="3">
        <v>52</v>
      </c>
      <c r="H88" s="3">
        <v>26</v>
      </c>
      <c r="I88" s="3">
        <f t="shared" si="6"/>
        <v>148</v>
      </c>
      <c r="J88" s="3">
        <v>500</v>
      </c>
      <c r="K88" s="4">
        <f t="shared" si="7"/>
        <v>0.29599999999999999</v>
      </c>
      <c r="L88" s="4">
        <f t="shared" si="8"/>
        <v>0.70399999999999996</v>
      </c>
    </row>
    <row r="89" spans="1:12" x14ac:dyDescent="0.3">
      <c r="A89" s="3" t="s">
        <v>178</v>
      </c>
      <c r="B89" s="3" t="s">
        <v>95</v>
      </c>
      <c r="C89" s="3" t="s">
        <v>26</v>
      </c>
      <c r="D89" s="3">
        <v>30</v>
      </c>
      <c r="E89" s="3">
        <v>66</v>
      </c>
      <c r="F89" s="3">
        <v>80</v>
      </c>
      <c r="G89" s="3">
        <v>64</v>
      </c>
      <c r="H89" s="3">
        <v>81</v>
      </c>
      <c r="I89" s="3">
        <f t="shared" si="6"/>
        <v>321</v>
      </c>
      <c r="J89" s="3">
        <v>500</v>
      </c>
      <c r="K89" s="4">
        <f t="shared" si="7"/>
        <v>0.64200000000000002</v>
      </c>
      <c r="L89" s="4">
        <f t="shared" si="8"/>
        <v>0.35799999999999998</v>
      </c>
    </row>
    <row r="90" spans="1:12" x14ac:dyDescent="0.3">
      <c r="A90" s="3" t="s">
        <v>179</v>
      </c>
      <c r="B90" s="3" t="s">
        <v>97</v>
      </c>
      <c r="C90" s="3" t="s">
        <v>14</v>
      </c>
      <c r="D90" s="3">
        <v>24</v>
      </c>
      <c r="E90" s="3">
        <v>19</v>
      </c>
      <c r="F90" s="3">
        <v>98</v>
      </c>
      <c r="G90" s="3">
        <v>29</v>
      </c>
      <c r="H90" s="3">
        <v>79</v>
      </c>
      <c r="I90" s="3">
        <f t="shared" si="6"/>
        <v>249</v>
      </c>
      <c r="J90" s="3">
        <v>500</v>
      </c>
      <c r="K90" s="4">
        <f t="shared" si="7"/>
        <v>0.498</v>
      </c>
      <c r="L90" s="4">
        <f t="shared" si="8"/>
        <v>0.502</v>
      </c>
    </row>
    <row r="91" spans="1:12" x14ac:dyDescent="0.3">
      <c r="A91" s="3" t="s">
        <v>180</v>
      </c>
      <c r="B91" s="3" t="s">
        <v>99</v>
      </c>
      <c r="C91" s="3" t="s">
        <v>14</v>
      </c>
      <c r="D91" s="3">
        <v>57</v>
      </c>
      <c r="E91" s="3">
        <v>84</v>
      </c>
      <c r="F91" s="3">
        <v>80</v>
      </c>
      <c r="G91" s="3">
        <v>28</v>
      </c>
      <c r="H91" s="3">
        <v>65</v>
      </c>
      <c r="I91" s="3">
        <f t="shared" si="6"/>
        <v>314</v>
      </c>
      <c r="J91" s="3">
        <v>500</v>
      </c>
      <c r="K91" s="4">
        <f t="shared" si="7"/>
        <v>0.628</v>
      </c>
      <c r="L91" s="4">
        <f t="shared" si="8"/>
        <v>0.372</v>
      </c>
    </row>
    <row r="92" spans="1:12" x14ac:dyDescent="0.3">
      <c r="A92" s="3" t="s">
        <v>181</v>
      </c>
      <c r="B92" s="3" t="s">
        <v>101</v>
      </c>
      <c r="C92" s="3" t="s">
        <v>20</v>
      </c>
      <c r="D92" s="3">
        <v>15</v>
      </c>
      <c r="E92" s="3">
        <v>49</v>
      </c>
      <c r="F92" s="3">
        <v>56</v>
      </c>
      <c r="G92" s="3">
        <v>15</v>
      </c>
      <c r="H92" s="3">
        <v>55</v>
      </c>
      <c r="I92" s="3">
        <f t="shared" si="6"/>
        <v>190</v>
      </c>
      <c r="J92" s="3">
        <v>500</v>
      </c>
      <c r="K92" s="4">
        <f t="shared" si="7"/>
        <v>0.38</v>
      </c>
      <c r="L92" s="4">
        <f t="shared" si="8"/>
        <v>0.62</v>
      </c>
    </row>
    <row r="93" spans="1:12" x14ac:dyDescent="0.3">
      <c r="A93" s="3" t="s">
        <v>182</v>
      </c>
      <c r="B93" s="3" t="s">
        <v>103</v>
      </c>
      <c r="C93" s="3" t="s">
        <v>23</v>
      </c>
      <c r="D93" s="3">
        <v>97</v>
      </c>
      <c r="E93" s="3">
        <v>41</v>
      </c>
      <c r="F93" s="3">
        <v>95</v>
      </c>
      <c r="G93" s="3">
        <v>23</v>
      </c>
      <c r="H93" s="3">
        <v>55</v>
      </c>
      <c r="I93" s="3">
        <f t="shared" si="6"/>
        <v>311</v>
      </c>
      <c r="J93" s="3">
        <v>500</v>
      </c>
      <c r="K93" s="4">
        <f t="shared" si="7"/>
        <v>0.622</v>
      </c>
      <c r="L93" s="4">
        <f t="shared" si="8"/>
        <v>0.378</v>
      </c>
    </row>
    <row r="94" spans="1:12" x14ac:dyDescent="0.3">
      <c r="A94" s="3" t="s">
        <v>183</v>
      </c>
      <c r="B94" s="3" t="s">
        <v>105</v>
      </c>
      <c r="C94" s="3" t="s">
        <v>32</v>
      </c>
      <c r="D94" s="3">
        <v>89</v>
      </c>
      <c r="E94" s="3">
        <v>29</v>
      </c>
      <c r="F94" s="3">
        <v>40</v>
      </c>
      <c r="G94" s="3">
        <v>30</v>
      </c>
      <c r="H94" s="3">
        <v>32</v>
      </c>
      <c r="I94" s="3">
        <f t="shared" si="6"/>
        <v>220</v>
      </c>
      <c r="J94" s="3">
        <v>500</v>
      </c>
      <c r="K94" s="4">
        <f t="shared" si="7"/>
        <v>0.44</v>
      </c>
      <c r="L94" s="4">
        <f t="shared" si="8"/>
        <v>0.56000000000000005</v>
      </c>
    </row>
    <row r="95" spans="1:12" x14ac:dyDescent="0.3">
      <c r="A95" s="3" t="s">
        <v>184</v>
      </c>
      <c r="B95" s="3" t="s">
        <v>107</v>
      </c>
      <c r="C95" s="3" t="s">
        <v>32</v>
      </c>
      <c r="D95" s="3">
        <v>13</v>
      </c>
      <c r="E95" s="3">
        <v>32</v>
      </c>
      <c r="F95" s="3">
        <v>52</v>
      </c>
      <c r="G95" s="3">
        <v>62</v>
      </c>
      <c r="H95" s="3">
        <v>95</v>
      </c>
      <c r="I95" s="3">
        <f t="shared" si="6"/>
        <v>254</v>
      </c>
      <c r="J95" s="3">
        <v>500</v>
      </c>
      <c r="K95" s="4">
        <f t="shared" si="7"/>
        <v>0.50800000000000001</v>
      </c>
      <c r="L95" s="4">
        <f t="shared" si="8"/>
        <v>0.49199999999999999</v>
      </c>
    </row>
    <row r="96" spans="1:12" x14ac:dyDescent="0.3">
      <c r="A96" s="3" t="s">
        <v>185</v>
      </c>
      <c r="B96" s="3" t="s">
        <v>109</v>
      </c>
      <c r="C96" s="3" t="s">
        <v>23</v>
      </c>
      <c r="D96" s="3">
        <v>44</v>
      </c>
      <c r="E96" s="3">
        <v>30</v>
      </c>
      <c r="F96" s="3">
        <v>99</v>
      </c>
      <c r="G96" s="3">
        <v>23</v>
      </c>
      <c r="H96" s="3">
        <v>58</v>
      </c>
      <c r="I96" s="3">
        <f t="shared" si="6"/>
        <v>254</v>
      </c>
      <c r="J96" s="3">
        <v>500</v>
      </c>
      <c r="K96" s="4">
        <f t="shared" si="7"/>
        <v>0.50800000000000001</v>
      </c>
      <c r="L96" s="4">
        <f t="shared" si="8"/>
        <v>0.49199999999999999</v>
      </c>
    </row>
    <row r="97" spans="1:12" x14ac:dyDescent="0.3">
      <c r="A97" s="3" t="s">
        <v>186</v>
      </c>
      <c r="B97" s="3" t="s">
        <v>111</v>
      </c>
      <c r="C97" s="3" t="s">
        <v>14</v>
      </c>
      <c r="D97" s="3">
        <v>70</v>
      </c>
      <c r="E97" s="3">
        <v>38</v>
      </c>
      <c r="F97" s="3">
        <v>35</v>
      </c>
      <c r="G97" s="3">
        <v>68</v>
      </c>
      <c r="H97" s="3">
        <v>54</v>
      </c>
      <c r="I97" s="3">
        <f t="shared" si="6"/>
        <v>265</v>
      </c>
      <c r="J97" s="3">
        <v>500</v>
      </c>
      <c r="K97" s="4">
        <f t="shared" si="7"/>
        <v>0.53</v>
      </c>
      <c r="L97" s="4">
        <f t="shared" si="8"/>
        <v>0.47</v>
      </c>
    </row>
    <row r="98" spans="1:12" x14ac:dyDescent="0.3">
      <c r="A98" s="3" t="s">
        <v>187</v>
      </c>
      <c r="B98" s="3" t="s">
        <v>113</v>
      </c>
      <c r="C98" s="3" t="s">
        <v>26</v>
      </c>
      <c r="D98" s="3">
        <v>39</v>
      </c>
      <c r="E98" s="3">
        <v>38</v>
      </c>
      <c r="F98" s="3">
        <v>13</v>
      </c>
      <c r="G98" s="3">
        <v>94</v>
      </c>
      <c r="H98" s="3">
        <v>34</v>
      </c>
      <c r="I98" s="3">
        <f t="shared" ref="I98:I129" si="9">SUM(D98:H98)</f>
        <v>218</v>
      </c>
      <c r="J98" s="3">
        <v>500</v>
      </c>
      <c r="K98" s="4">
        <f t="shared" ref="K98:K129" si="10">I98/J98</f>
        <v>0.436</v>
      </c>
      <c r="L98" s="4">
        <f t="shared" ref="L98:L129" si="11">1-K98</f>
        <v>0.56400000000000006</v>
      </c>
    </row>
    <row r="99" spans="1:12" x14ac:dyDescent="0.3">
      <c r="A99" s="3" t="s">
        <v>188</v>
      </c>
      <c r="B99" s="3" t="s">
        <v>115</v>
      </c>
      <c r="C99" s="3" t="s">
        <v>32</v>
      </c>
      <c r="D99" s="3">
        <v>52</v>
      </c>
      <c r="E99" s="3">
        <v>45</v>
      </c>
      <c r="F99" s="3">
        <v>18</v>
      </c>
      <c r="G99" s="3">
        <v>45</v>
      </c>
      <c r="H99" s="3">
        <v>54</v>
      </c>
      <c r="I99" s="3">
        <f t="shared" si="9"/>
        <v>214</v>
      </c>
      <c r="J99" s="3">
        <v>500</v>
      </c>
      <c r="K99" s="4">
        <f t="shared" si="10"/>
        <v>0.42799999999999999</v>
      </c>
      <c r="L99" s="4">
        <f t="shared" si="11"/>
        <v>0.57200000000000006</v>
      </c>
    </row>
    <row r="100" spans="1:12" x14ac:dyDescent="0.3">
      <c r="A100" s="3" t="s">
        <v>189</v>
      </c>
      <c r="B100" s="3" t="s">
        <v>117</v>
      </c>
      <c r="C100" s="3" t="s">
        <v>32</v>
      </c>
      <c r="D100" s="3">
        <v>96</v>
      </c>
      <c r="E100" s="3">
        <v>78</v>
      </c>
      <c r="F100" s="3">
        <v>52</v>
      </c>
      <c r="G100" s="3">
        <v>13</v>
      </c>
      <c r="H100" s="3">
        <v>24</v>
      </c>
      <c r="I100" s="3">
        <f t="shared" si="9"/>
        <v>263</v>
      </c>
      <c r="J100" s="3">
        <v>500</v>
      </c>
      <c r="K100" s="4">
        <f t="shared" si="10"/>
        <v>0.52600000000000002</v>
      </c>
      <c r="L100" s="4">
        <f t="shared" si="11"/>
        <v>0.47399999999999998</v>
      </c>
    </row>
    <row r="101" spans="1:12" x14ac:dyDescent="0.3">
      <c r="A101" s="3" t="s">
        <v>190</v>
      </c>
      <c r="B101" s="3" t="s">
        <v>119</v>
      </c>
      <c r="C101" s="3" t="s">
        <v>26</v>
      </c>
      <c r="D101" s="3">
        <v>32</v>
      </c>
      <c r="E101" s="3">
        <v>84</v>
      </c>
      <c r="F101" s="3">
        <v>43</v>
      </c>
      <c r="G101" s="3">
        <v>14</v>
      </c>
      <c r="H101" s="3">
        <v>23</v>
      </c>
      <c r="I101" s="3">
        <f t="shared" si="9"/>
        <v>196</v>
      </c>
      <c r="J101" s="3">
        <v>500</v>
      </c>
      <c r="K101" s="4">
        <f t="shared" si="10"/>
        <v>0.39200000000000002</v>
      </c>
      <c r="L101" s="4">
        <f t="shared" si="11"/>
        <v>0.60799999999999998</v>
      </c>
    </row>
    <row r="102" spans="1:12" x14ac:dyDescent="0.3">
      <c r="A102" s="3" t="s">
        <v>191</v>
      </c>
      <c r="B102" s="3" t="s">
        <v>121</v>
      </c>
      <c r="C102" s="3" t="s">
        <v>32</v>
      </c>
      <c r="D102" s="3">
        <v>54</v>
      </c>
      <c r="E102" s="3">
        <v>50</v>
      </c>
      <c r="F102" s="3">
        <v>65</v>
      </c>
      <c r="G102" s="3">
        <v>87</v>
      </c>
      <c r="H102" s="3">
        <v>75</v>
      </c>
      <c r="I102" s="3">
        <f t="shared" si="9"/>
        <v>331</v>
      </c>
      <c r="J102" s="3">
        <v>500</v>
      </c>
      <c r="K102" s="4">
        <f t="shared" si="10"/>
        <v>0.66200000000000003</v>
      </c>
      <c r="L102" s="4">
        <f t="shared" si="11"/>
        <v>0.33799999999999997</v>
      </c>
    </row>
    <row r="103" spans="1:12" x14ac:dyDescent="0.3">
      <c r="A103" s="3" t="s">
        <v>192</v>
      </c>
      <c r="B103" s="3" t="s">
        <v>123</v>
      </c>
      <c r="C103" s="3" t="s">
        <v>17</v>
      </c>
      <c r="D103" s="3">
        <v>59</v>
      </c>
      <c r="E103" s="3">
        <v>83</v>
      </c>
      <c r="F103" s="3">
        <v>34</v>
      </c>
      <c r="G103" s="3">
        <v>42</v>
      </c>
      <c r="H103" s="3">
        <v>15</v>
      </c>
      <c r="I103" s="3">
        <f t="shared" si="9"/>
        <v>233</v>
      </c>
      <c r="J103" s="3">
        <v>500</v>
      </c>
      <c r="K103" s="4">
        <f t="shared" si="10"/>
        <v>0.46600000000000003</v>
      </c>
      <c r="L103" s="4">
        <f t="shared" si="11"/>
        <v>0.53400000000000003</v>
      </c>
    </row>
    <row r="104" spans="1:12" x14ac:dyDescent="0.3">
      <c r="A104" s="3" t="s">
        <v>193</v>
      </c>
      <c r="B104" s="3" t="s">
        <v>125</v>
      </c>
      <c r="C104" s="3" t="s">
        <v>32</v>
      </c>
      <c r="D104" s="3">
        <v>10</v>
      </c>
      <c r="E104" s="3">
        <v>76</v>
      </c>
      <c r="F104" s="3">
        <v>78</v>
      </c>
      <c r="G104" s="3">
        <v>97</v>
      </c>
      <c r="H104" s="3">
        <v>95</v>
      </c>
      <c r="I104" s="3">
        <f t="shared" si="9"/>
        <v>356</v>
      </c>
      <c r="J104" s="3">
        <v>500</v>
      </c>
      <c r="K104" s="4">
        <f t="shared" si="10"/>
        <v>0.71199999999999997</v>
      </c>
      <c r="L104" s="4">
        <f t="shared" si="11"/>
        <v>0.28800000000000003</v>
      </c>
    </row>
    <row r="105" spans="1:12" x14ac:dyDescent="0.3">
      <c r="A105" s="3" t="s">
        <v>194</v>
      </c>
      <c r="B105" s="3" t="s">
        <v>127</v>
      </c>
      <c r="C105" s="3" t="s">
        <v>23</v>
      </c>
      <c r="D105" s="3">
        <v>56</v>
      </c>
      <c r="E105" s="3">
        <v>65</v>
      </c>
      <c r="F105" s="3">
        <v>18</v>
      </c>
      <c r="G105" s="3">
        <v>95</v>
      </c>
      <c r="H105" s="3">
        <v>52</v>
      </c>
      <c r="I105" s="3">
        <f t="shared" si="9"/>
        <v>286</v>
      </c>
      <c r="J105" s="3">
        <v>500</v>
      </c>
      <c r="K105" s="4">
        <f t="shared" si="10"/>
        <v>0.57199999999999995</v>
      </c>
      <c r="L105" s="4">
        <f t="shared" si="11"/>
        <v>0.42800000000000005</v>
      </c>
    </row>
    <row r="106" spans="1:12" x14ac:dyDescent="0.3">
      <c r="A106" s="3" t="s">
        <v>195</v>
      </c>
      <c r="B106" s="3" t="s">
        <v>129</v>
      </c>
      <c r="C106" s="3" t="s">
        <v>29</v>
      </c>
      <c r="D106" s="3">
        <v>94</v>
      </c>
      <c r="E106" s="3">
        <v>25</v>
      </c>
      <c r="F106" s="3">
        <v>48</v>
      </c>
      <c r="G106" s="3">
        <v>74</v>
      </c>
      <c r="H106" s="3">
        <v>49</v>
      </c>
      <c r="I106" s="3">
        <f t="shared" si="9"/>
        <v>290</v>
      </c>
      <c r="J106" s="3">
        <v>500</v>
      </c>
      <c r="K106" s="4">
        <f t="shared" si="10"/>
        <v>0.57999999999999996</v>
      </c>
      <c r="L106" s="4">
        <f t="shared" si="11"/>
        <v>0.42000000000000004</v>
      </c>
    </row>
    <row r="107" spans="1:12" x14ac:dyDescent="0.3">
      <c r="A107" s="3" t="s">
        <v>196</v>
      </c>
      <c r="B107" s="3" t="s">
        <v>131</v>
      </c>
      <c r="C107" s="3" t="s">
        <v>32</v>
      </c>
      <c r="D107" s="3">
        <v>51</v>
      </c>
      <c r="E107" s="3">
        <v>61</v>
      </c>
      <c r="F107" s="3">
        <v>99</v>
      </c>
      <c r="G107" s="3">
        <v>47</v>
      </c>
      <c r="H107" s="3">
        <v>80</v>
      </c>
      <c r="I107" s="3">
        <f t="shared" si="9"/>
        <v>338</v>
      </c>
      <c r="J107" s="3">
        <v>500</v>
      </c>
      <c r="K107" s="4">
        <f t="shared" si="10"/>
        <v>0.67600000000000005</v>
      </c>
      <c r="L107" s="4">
        <f t="shared" si="11"/>
        <v>0.32399999999999995</v>
      </c>
    </row>
    <row r="108" spans="1:12" x14ac:dyDescent="0.3">
      <c r="A108" s="3" t="s">
        <v>197</v>
      </c>
      <c r="B108" s="3" t="s">
        <v>133</v>
      </c>
      <c r="C108" s="3" t="s">
        <v>20</v>
      </c>
      <c r="D108" s="3">
        <v>34</v>
      </c>
      <c r="E108" s="3">
        <v>63</v>
      </c>
      <c r="F108" s="3">
        <v>95</v>
      </c>
      <c r="G108" s="3">
        <v>58</v>
      </c>
      <c r="H108" s="3">
        <v>96</v>
      </c>
      <c r="I108" s="3">
        <f t="shared" si="9"/>
        <v>346</v>
      </c>
      <c r="J108" s="3">
        <v>500</v>
      </c>
      <c r="K108" s="4">
        <f t="shared" si="10"/>
        <v>0.69199999999999995</v>
      </c>
      <c r="L108" s="4">
        <f t="shared" si="11"/>
        <v>0.30800000000000005</v>
      </c>
    </row>
    <row r="109" spans="1:12" x14ac:dyDescent="0.3">
      <c r="A109" s="3" t="s">
        <v>198</v>
      </c>
      <c r="B109" s="3" t="s">
        <v>135</v>
      </c>
      <c r="C109" s="3" t="s">
        <v>20</v>
      </c>
      <c r="D109" s="3">
        <v>88</v>
      </c>
      <c r="E109" s="3">
        <v>82</v>
      </c>
      <c r="F109" s="3">
        <v>48</v>
      </c>
      <c r="G109" s="3">
        <v>61</v>
      </c>
      <c r="H109" s="3">
        <v>80</v>
      </c>
      <c r="I109" s="3">
        <f t="shared" si="9"/>
        <v>359</v>
      </c>
      <c r="J109" s="3">
        <v>500</v>
      </c>
      <c r="K109" s="4">
        <f t="shared" si="10"/>
        <v>0.71799999999999997</v>
      </c>
      <c r="L109" s="4">
        <f t="shared" si="11"/>
        <v>0.28200000000000003</v>
      </c>
    </row>
    <row r="110" spans="1:12" x14ac:dyDescent="0.3">
      <c r="A110" s="3" t="s">
        <v>199</v>
      </c>
      <c r="B110" s="3" t="s">
        <v>137</v>
      </c>
      <c r="C110" s="3" t="s">
        <v>14</v>
      </c>
      <c r="D110" s="3">
        <v>48</v>
      </c>
      <c r="E110" s="3">
        <v>46</v>
      </c>
      <c r="F110" s="3">
        <v>36</v>
      </c>
      <c r="G110" s="3">
        <v>65</v>
      </c>
      <c r="H110" s="3">
        <v>84</v>
      </c>
      <c r="I110" s="3">
        <f t="shared" si="9"/>
        <v>279</v>
      </c>
      <c r="J110" s="3">
        <v>500</v>
      </c>
      <c r="K110" s="4">
        <f t="shared" si="10"/>
        <v>0.55800000000000005</v>
      </c>
      <c r="L110" s="4">
        <f t="shared" si="11"/>
        <v>0.44199999999999995</v>
      </c>
    </row>
    <row r="111" spans="1:12" x14ac:dyDescent="0.3">
      <c r="A111" s="3" t="s">
        <v>200</v>
      </c>
      <c r="B111" s="3" t="s">
        <v>139</v>
      </c>
      <c r="C111" s="3" t="s">
        <v>29</v>
      </c>
      <c r="D111" s="3">
        <v>69</v>
      </c>
      <c r="E111" s="3">
        <v>66</v>
      </c>
      <c r="F111" s="3">
        <v>66</v>
      </c>
      <c r="G111" s="3">
        <v>96</v>
      </c>
      <c r="H111" s="3">
        <v>37</v>
      </c>
      <c r="I111" s="3">
        <f t="shared" si="9"/>
        <v>334</v>
      </c>
      <c r="J111" s="3">
        <v>500</v>
      </c>
      <c r="K111" s="4">
        <f t="shared" si="10"/>
        <v>0.66800000000000004</v>
      </c>
      <c r="L111" s="4">
        <f t="shared" si="11"/>
        <v>0.33199999999999996</v>
      </c>
    </row>
    <row r="112" spans="1:12" x14ac:dyDescent="0.3">
      <c r="A112" s="3" t="s">
        <v>201</v>
      </c>
      <c r="B112" s="3" t="s">
        <v>141</v>
      </c>
      <c r="C112" s="3" t="s">
        <v>35</v>
      </c>
      <c r="D112" s="3">
        <v>31</v>
      </c>
      <c r="E112" s="3">
        <v>94</v>
      </c>
      <c r="F112" s="3">
        <v>20</v>
      </c>
      <c r="G112" s="3">
        <v>46</v>
      </c>
      <c r="H112" s="3">
        <v>75</v>
      </c>
      <c r="I112" s="3">
        <f t="shared" si="9"/>
        <v>266</v>
      </c>
      <c r="J112" s="3">
        <v>500</v>
      </c>
      <c r="K112" s="4">
        <f t="shared" si="10"/>
        <v>0.53200000000000003</v>
      </c>
      <c r="L112" s="4">
        <f t="shared" si="11"/>
        <v>0.46799999999999997</v>
      </c>
    </row>
    <row r="113" spans="1:12" x14ac:dyDescent="0.3">
      <c r="A113" s="3" t="s">
        <v>202</v>
      </c>
      <c r="B113" s="3" t="s">
        <v>143</v>
      </c>
      <c r="C113" s="3" t="s">
        <v>29</v>
      </c>
      <c r="D113" s="3">
        <v>21</v>
      </c>
      <c r="E113" s="3">
        <v>40</v>
      </c>
      <c r="F113" s="3">
        <v>96</v>
      </c>
      <c r="G113" s="3">
        <v>49</v>
      </c>
      <c r="H113" s="3">
        <v>38</v>
      </c>
      <c r="I113" s="3">
        <f t="shared" si="9"/>
        <v>244</v>
      </c>
      <c r="J113" s="3">
        <v>500</v>
      </c>
      <c r="K113" s="4">
        <f t="shared" si="10"/>
        <v>0.48799999999999999</v>
      </c>
      <c r="L113" s="4">
        <f t="shared" si="11"/>
        <v>0.51200000000000001</v>
      </c>
    </row>
    <row r="114" spans="1:12" x14ac:dyDescent="0.3">
      <c r="A114" s="3" t="s">
        <v>203</v>
      </c>
      <c r="B114" s="3" t="s">
        <v>145</v>
      </c>
      <c r="C114" s="3" t="s">
        <v>23</v>
      </c>
      <c r="D114" s="3">
        <v>28</v>
      </c>
      <c r="E114" s="3">
        <v>13</v>
      </c>
      <c r="F114" s="3">
        <v>15</v>
      </c>
      <c r="G114" s="3">
        <v>41</v>
      </c>
      <c r="H114" s="3">
        <v>70</v>
      </c>
      <c r="I114" s="3">
        <f t="shared" si="9"/>
        <v>167</v>
      </c>
      <c r="J114" s="3">
        <v>500</v>
      </c>
      <c r="K114" s="4">
        <f t="shared" si="10"/>
        <v>0.33400000000000002</v>
      </c>
      <c r="L114" s="4">
        <f t="shared" si="11"/>
        <v>0.66599999999999993</v>
      </c>
    </row>
    <row r="115" spans="1:12" x14ac:dyDescent="0.3">
      <c r="A115" s="3" t="s">
        <v>204</v>
      </c>
      <c r="B115" s="3" t="s">
        <v>147</v>
      </c>
      <c r="C115" s="3" t="s">
        <v>17</v>
      </c>
      <c r="D115" s="3">
        <v>68</v>
      </c>
      <c r="E115" s="3">
        <v>63</v>
      </c>
      <c r="F115" s="3">
        <v>90</v>
      </c>
      <c r="G115" s="3">
        <v>83</v>
      </c>
      <c r="H115" s="3">
        <v>34</v>
      </c>
      <c r="I115" s="3">
        <f t="shared" si="9"/>
        <v>338</v>
      </c>
      <c r="J115" s="3">
        <v>500</v>
      </c>
      <c r="K115" s="4">
        <f t="shared" si="10"/>
        <v>0.67600000000000005</v>
      </c>
      <c r="L115" s="4">
        <f t="shared" si="11"/>
        <v>0.32399999999999995</v>
      </c>
    </row>
    <row r="116" spans="1:12" x14ac:dyDescent="0.3">
      <c r="A116" s="3" t="s">
        <v>205</v>
      </c>
      <c r="B116" s="3" t="s">
        <v>149</v>
      </c>
      <c r="C116" s="3" t="s">
        <v>32</v>
      </c>
      <c r="D116" s="3">
        <v>73</v>
      </c>
      <c r="E116" s="3">
        <v>61</v>
      </c>
      <c r="F116" s="3">
        <v>41</v>
      </c>
      <c r="G116" s="3">
        <v>28</v>
      </c>
      <c r="H116" s="3">
        <v>93</v>
      </c>
      <c r="I116" s="3">
        <f t="shared" si="9"/>
        <v>296</v>
      </c>
      <c r="J116" s="3">
        <v>500</v>
      </c>
      <c r="K116" s="4">
        <f t="shared" si="10"/>
        <v>0.59199999999999997</v>
      </c>
      <c r="L116" s="4">
        <f t="shared" si="11"/>
        <v>0.40800000000000003</v>
      </c>
    </row>
    <row r="117" spans="1:12" x14ac:dyDescent="0.3">
      <c r="A117" s="3" t="s">
        <v>206</v>
      </c>
      <c r="B117" s="3" t="s">
        <v>151</v>
      </c>
      <c r="C117" s="3" t="s">
        <v>14</v>
      </c>
      <c r="D117" s="3">
        <v>23</v>
      </c>
      <c r="E117" s="3">
        <v>64</v>
      </c>
      <c r="F117" s="3">
        <v>38</v>
      </c>
      <c r="G117" s="3">
        <v>32</v>
      </c>
      <c r="H117" s="3">
        <v>99</v>
      </c>
      <c r="I117" s="3">
        <f t="shared" si="9"/>
        <v>256</v>
      </c>
      <c r="J117" s="3">
        <v>500</v>
      </c>
      <c r="K117" s="4">
        <f t="shared" si="10"/>
        <v>0.51200000000000001</v>
      </c>
      <c r="L117" s="4">
        <f t="shared" si="11"/>
        <v>0.48799999999999999</v>
      </c>
    </row>
    <row r="118" spans="1:12" x14ac:dyDescent="0.3">
      <c r="A118" s="3" t="s">
        <v>207</v>
      </c>
      <c r="B118" s="3" t="s">
        <v>153</v>
      </c>
      <c r="C118" s="3" t="s">
        <v>35</v>
      </c>
      <c r="D118" s="3">
        <v>16</v>
      </c>
      <c r="E118" s="3">
        <v>81</v>
      </c>
      <c r="F118" s="3">
        <v>41</v>
      </c>
      <c r="G118" s="3">
        <v>25</v>
      </c>
      <c r="H118" s="3">
        <v>68</v>
      </c>
      <c r="I118" s="3">
        <f t="shared" si="9"/>
        <v>231</v>
      </c>
      <c r="J118" s="3">
        <v>500</v>
      </c>
      <c r="K118" s="4">
        <f t="shared" si="10"/>
        <v>0.46200000000000002</v>
      </c>
      <c r="L118" s="4">
        <f t="shared" si="11"/>
        <v>0.53800000000000003</v>
      </c>
    </row>
    <row r="119" spans="1:12" x14ac:dyDescent="0.3">
      <c r="A119" s="3" t="s">
        <v>208</v>
      </c>
      <c r="B119" s="3" t="s">
        <v>155</v>
      </c>
      <c r="C119" s="3" t="s">
        <v>20</v>
      </c>
      <c r="D119" s="3">
        <v>69</v>
      </c>
      <c r="E119" s="3">
        <v>95</v>
      </c>
      <c r="F119" s="3">
        <v>77</v>
      </c>
      <c r="G119" s="3">
        <v>81</v>
      </c>
      <c r="H119" s="3">
        <v>86</v>
      </c>
      <c r="I119" s="3">
        <f t="shared" si="9"/>
        <v>408</v>
      </c>
      <c r="J119" s="3">
        <v>500</v>
      </c>
      <c r="K119" s="4">
        <f t="shared" si="10"/>
        <v>0.81599999999999995</v>
      </c>
      <c r="L119" s="4">
        <f t="shared" si="11"/>
        <v>0.18400000000000005</v>
      </c>
    </row>
    <row r="120" spans="1:12" x14ac:dyDescent="0.3">
      <c r="A120" s="3" t="s">
        <v>209</v>
      </c>
      <c r="B120" s="3" t="s">
        <v>157</v>
      </c>
      <c r="C120" s="3" t="s">
        <v>29</v>
      </c>
      <c r="D120" s="3">
        <v>66</v>
      </c>
      <c r="E120" s="3">
        <v>88</v>
      </c>
      <c r="F120" s="3">
        <v>74</v>
      </c>
      <c r="G120" s="3">
        <v>64</v>
      </c>
      <c r="H120" s="3">
        <v>80</v>
      </c>
      <c r="I120" s="3">
        <f t="shared" si="9"/>
        <v>372</v>
      </c>
      <c r="J120" s="3">
        <v>500</v>
      </c>
      <c r="K120" s="4">
        <f t="shared" si="10"/>
        <v>0.74399999999999999</v>
      </c>
      <c r="L120" s="4">
        <f t="shared" si="11"/>
        <v>0.25600000000000001</v>
      </c>
    </row>
    <row r="121" spans="1:12" x14ac:dyDescent="0.3">
      <c r="A121" s="3" t="s">
        <v>210</v>
      </c>
      <c r="B121" s="3" t="s">
        <v>159</v>
      </c>
      <c r="C121" s="3" t="s">
        <v>35</v>
      </c>
      <c r="D121" s="3">
        <v>30</v>
      </c>
      <c r="E121" s="3">
        <v>70</v>
      </c>
      <c r="F121" s="3">
        <v>67</v>
      </c>
      <c r="G121" s="3">
        <v>43</v>
      </c>
      <c r="H121" s="3">
        <v>41</v>
      </c>
      <c r="I121" s="3">
        <f t="shared" si="9"/>
        <v>251</v>
      </c>
      <c r="J121" s="3">
        <v>500</v>
      </c>
      <c r="K121" s="4">
        <f t="shared" si="10"/>
        <v>0.502</v>
      </c>
      <c r="L121" s="4">
        <f t="shared" si="11"/>
        <v>0.498</v>
      </c>
    </row>
    <row r="122" spans="1:12" x14ac:dyDescent="0.3">
      <c r="A122" s="3" t="s">
        <v>211</v>
      </c>
      <c r="B122" s="3" t="s">
        <v>161</v>
      </c>
      <c r="C122" s="3" t="s">
        <v>26</v>
      </c>
      <c r="D122" s="3">
        <v>76</v>
      </c>
      <c r="E122" s="3">
        <v>72</v>
      </c>
      <c r="F122" s="3">
        <v>90</v>
      </c>
      <c r="G122" s="3">
        <v>40</v>
      </c>
      <c r="H122" s="3">
        <v>45</v>
      </c>
      <c r="I122" s="3">
        <f t="shared" si="9"/>
        <v>323</v>
      </c>
      <c r="J122" s="3">
        <v>500</v>
      </c>
      <c r="K122" s="4">
        <f t="shared" si="10"/>
        <v>0.64600000000000002</v>
      </c>
      <c r="L122" s="4">
        <f t="shared" si="11"/>
        <v>0.35399999999999998</v>
      </c>
    </row>
    <row r="123" spans="1:12" x14ac:dyDescent="0.3">
      <c r="A123" s="3" t="s">
        <v>212</v>
      </c>
      <c r="B123" s="3" t="s">
        <v>63</v>
      </c>
      <c r="C123" s="3" t="s">
        <v>35</v>
      </c>
      <c r="D123" s="3">
        <v>19</v>
      </c>
      <c r="E123" s="3">
        <v>46</v>
      </c>
      <c r="F123" s="3">
        <v>40</v>
      </c>
      <c r="G123" s="3">
        <v>44</v>
      </c>
      <c r="H123" s="3">
        <v>52</v>
      </c>
      <c r="I123" s="3">
        <f t="shared" si="9"/>
        <v>201</v>
      </c>
      <c r="J123" s="3">
        <v>500</v>
      </c>
      <c r="K123" s="4">
        <f t="shared" si="10"/>
        <v>0.40200000000000002</v>
      </c>
      <c r="L123" s="4">
        <f t="shared" si="11"/>
        <v>0.59799999999999998</v>
      </c>
    </row>
    <row r="124" spans="1:12" x14ac:dyDescent="0.3">
      <c r="A124" s="3" t="s">
        <v>213</v>
      </c>
      <c r="B124" s="3" t="s">
        <v>65</v>
      </c>
      <c r="C124" s="3" t="s">
        <v>29</v>
      </c>
      <c r="D124" s="3">
        <v>79</v>
      </c>
      <c r="E124" s="3">
        <v>20</v>
      </c>
      <c r="F124" s="3">
        <v>27</v>
      </c>
      <c r="G124" s="3">
        <v>29</v>
      </c>
      <c r="H124" s="3">
        <v>39</v>
      </c>
      <c r="I124" s="3">
        <f t="shared" si="9"/>
        <v>194</v>
      </c>
      <c r="J124" s="3">
        <v>500</v>
      </c>
      <c r="K124" s="4">
        <f t="shared" si="10"/>
        <v>0.38800000000000001</v>
      </c>
      <c r="L124" s="4">
        <f t="shared" si="11"/>
        <v>0.61199999999999999</v>
      </c>
    </row>
    <row r="125" spans="1:12" x14ac:dyDescent="0.3">
      <c r="A125" s="3" t="s">
        <v>214</v>
      </c>
      <c r="B125" s="3" t="s">
        <v>67</v>
      </c>
      <c r="C125" s="3" t="s">
        <v>32</v>
      </c>
      <c r="D125" s="3">
        <v>98</v>
      </c>
      <c r="E125" s="3">
        <v>29</v>
      </c>
      <c r="F125" s="3">
        <v>37</v>
      </c>
      <c r="G125" s="3">
        <v>18</v>
      </c>
      <c r="H125" s="3">
        <v>63</v>
      </c>
      <c r="I125" s="3">
        <f t="shared" si="9"/>
        <v>245</v>
      </c>
      <c r="J125" s="3">
        <v>500</v>
      </c>
      <c r="K125" s="4">
        <f t="shared" si="10"/>
        <v>0.49</v>
      </c>
      <c r="L125" s="4">
        <f t="shared" si="11"/>
        <v>0.51</v>
      </c>
    </row>
    <row r="126" spans="1:12" x14ac:dyDescent="0.3">
      <c r="A126" s="3" t="s">
        <v>215</v>
      </c>
      <c r="B126" s="3" t="s">
        <v>69</v>
      </c>
      <c r="C126" s="3" t="s">
        <v>32</v>
      </c>
      <c r="D126" s="3">
        <v>52</v>
      </c>
      <c r="E126" s="3">
        <v>79</v>
      </c>
      <c r="F126" s="3">
        <v>69</v>
      </c>
      <c r="G126" s="3">
        <v>63</v>
      </c>
      <c r="H126" s="3">
        <v>17</v>
      </c>
      <c r="I126" s="3">
        <f t="shared" si="9"/>
        <v>280</v>
      </c>
      <c r="J126" s="3">
        <v>500</v>
      </c>
      <c r="K126" s="4">
        <f t="shared" si="10"/>
        <v>0.56000000000000005</v>
      </c>
      <c r="L126" s="4">
        <f t="shared" si="11"/>
        <v>0.43999999999999995</v>
      </c>
    </row>
    <row r="127" spans="1:12" x14ac:dyDescent="0.3">
      <c r="A127" s="3" t="s">
        <v>216</v>
      </c>
      <c r="B127" s="3" t="s">
        <v>71</v>
      </c>
      <c r="C127" s="3" t="s">
        <v>23</v>
      </c>
      <c r="D127" s="3">
        <v>63</v>
      </c>
      <c r="E127" s="3">
        <v>59</v>
      </c>
      <c r="F127" s="3">
        <v>84</v>
      </c>
      <c r="G127" s="3">
        <v>99</v>
      </c>
      <c r="H127" s="3">
        <v>12</v>
      </c>
      <c r="I127" s="3">
        <f t="shared" si="9"/>
        <v>317</v>
      </c>
      <c r="J127" s="3">
        <v>500</v>
      </c>
      <c r="K127" s="4">
        <f t="shared" si="10"/>
        <v>0.63400000000000001</v>
      </c>
      <c r="L127" s="4">
        <f t="shared" si="11"/>
        <v>0.36599999999999999</v>
      </c>
    </row>
    <row r="128" spans="1:12" x14ac:dyDescent="0.3">
      <c r="A128" s="3" t="s">
        <v>217</v>
      </c>
      <c r="B128" s="3" t="s">
        <v>73</v>
      </c>
      <c r="C128" s="3" t="s">
        <v>32</v>
      </c>
      <c r="D128" s="3">
        <v>71</v>
      </c>
      <c r="E128" s="3">
        <v>10</v>
      </c>
      <c r="F128" s="3">
        <v>55</v>
      </c>
      <c r="G128" s="3">
        <v>48</v>
      </c>
      <c r="H128" s="3">
        <v>59</v>
      </c>
      <c r="I128" s="3">
        <f t="shared" si="9"/>
        <v>243</v>
      </c>
      <c r="J128" s="3">
        <v>500</v>
      </c>
      <c r="K128" s="4">
        <f t="shared" si="10"/>
        <v>0.48599999999999999</v>
      </c>
      <c r="L128" s="4">
        <f t="shared" si="11"/>
        <v>0.51400000000000001</v>
      </c>
    </row>
    <row r="129" spans="1:12" x14ac:dyDescent="0.3">
      <c r="A129" s="3" t="s">
        <v>218</v>
      </c>
      <c r="B129" s="3" t="s">
        <v>75</v>
      </c>
      <c r="C129" s="3" t="s">
        <v>32</v>
      </c>
      <c r="D129" s="3">
        <v>78</v>
      </c>
      <c r="E129" s="3">
        <v>79</v>
      </c>
      <c r="F129" s="3">
        <v>87</v>
      </c>
      <c r="G129" s="3">
        <v>38</v>
      </c>
      <c r="H129" s="3">
        <v>72</v>
      </c>
      <c r="I129" s="3">
        <f t="shared" si="9"/>
        <v>354</v>
      </c>
      <c r="J129" s="3">
        <v>500</v>
      </c>
      <c r="K129" s="4">
        <f t="shared" si="10"/>
        <v>0.70799999999999996</v>
      </c>
      <c r="L129" s="4">
        <f t="shared" si="11"/>
        <v>0.29200000000000004</v>
      </c>
    </row>
    <row r="130" spans="1:12" x14ac:dyDescent="0.3">
      <c r="A130" s="3" t="s">
        <v>219</v>
      </c>
      <c r="B130" s="3" t="s">
        <v>77</v>
      </c>
      <c r="C130" s="3" t="s">
        <v>23</v>
      </c>
      <c r="D130" s="3">
        <v>44</v>
      </c>
      <c r="E130" s="3">
        <v>65</v>
      </c>
      <c r="F130" s="3">
        <v>72</v>
      </c>
      <c r="G130" s="3">
        <v>13</v>
      </c>
      <c r="H130" s="3">
        <v>59</v>
      </c>
      <c r="I130" s="3">
        <f t="shared" ref="I130:I161" si="12">SUM(D130:H130)</f>
        <v>253</v>
      </c>
      <c r="J130" s="3">
        <v>500</v>
      </c>
      <c r="K130" s="4">
        <f t="shared" ref="K130:K161" si="13">I130/J130</f>
        <v>0.50600000000000001</v>
      </c>
      <c r="L130" s="4">
        <f t="shared" ref="L130:L161" si="14">1-K130</f>
        <v>0.49399999999999999</v>
      </c>
    </row>
    <row r="131" spans="1:12" x14ac:dyDescent="0.3">
      <c r="A131" s="3" t="s">
        <v>220</v>
      </c>
      <c r="B131" s="3" t="s">
        <v>79</v>
      </c>
      <c r="C131" s="3" t="s">
        <v>29</v>
      </c>
      <c r="D131" s="3">
        <v>95</v>
      </c>
      <c r="E131" s="3">
        <v>96</v>
      </c>
      <c r="F131" s="3">
        <v>61</v>
      </c>
      <c r="G131" s="3">
        <v>31</v>
      </c>
      <c r="H131" s="3">
        <v>69</v>
      </c>
      <c r="I131" s="3">
        <f t="shared" si="12"/>
        <v>352</v>
      </c>
      <c r="J131" s="3">
        <v>500</v>
      </c>
      <c r="K131" s="4">
        <f t="shared" si="13"/>
        <v>0.70399999999999996</v>
      </c>
      <c r="L131" s="4">
        <f t="shared" si="14"/>
        <v>0.29600000000000004</v>
      </c>
    </row>
    <row r="132" spans="1:12" x14ac:dyDescent="0.3">
      <c r="A132" s="3" t="s">
        <v>221</v>
      </c>
      <c r="B132" s="3" t="s">
        <v>81</v>
      </c>
      <c r="C132" s="3" t="s">
        <v>20</v>
      </c>
      <c r="D132" s="3">
        <v>89</v>
      </c>
      <c r="E132" s="3">
        <v>78</v>
      </c>
      <c r="F132" s="3">
        <v>13</v>
      </c>
      <c r="G132" s="3">
        <v>60</v>
      </c>
      <c r="H132" s="3">
        <v>85</v>
      </c>
      <c r="I132" s="3">
        <f t="shared" si="12"/>
        <v>325</v>
      </c>
      <c r="J132" s="3">
        <v>500</v>
      </c>
      <c r="K132" s="4">
        <f t="shared" si="13"/>
        <v>0.65</v>
      </c>
      <c r="L132" s="4">
        <f t="shared" si="14"/>
        <v>0.35</v>
      </c>
    </row>
    <row r="133" spans="1:12" x14ac:dyDescent="0.3">
      <c r="A133" s="3" t="s">
        <v>222</v>
      </c>
      <c r="B133" s="3" t="s">
        <v>83</v>
      </c>
      <c r="C133" s="3" t="s">
        <v>14</v>
      </c>
      <c r="D133" s="3">
        <v>20</v>
      </c>
      <c r="E133" s="3">
        <v>92</v>
      </c>
      <c r="F133" s="3">
        <v>64</v>
      </c>
      <c r="G133" s="3">
        <v>27</v>
      </c>
      <c r="H133" s="3">
        <v>69</v>
      </c>
      <c r="I133" s="3">
        <f t="shared" si="12"/>
        <v>272</v>
      </c>
      <c r="J133" s="3">
        <v>500</v>
      </c>
      <c r="K133" s="4">
        <f t="shared" si="13"/>
        <v>0.54400000000000004</v>
      </c>
      <c r="L133" s="4">
        <f t="shared" si="14"/>
        <v>0.45599999999999996</v>
      </c>
    </row>
    <row r="134" spans="1:12" x14ac:dyDescent="0.3">
      <c r="A134" s="3" t="s">
        <v>223</v>
      </c>
      <c r="B134" s="3" t="s">
        <v>85</v>
      </c>
      <c r="C134" s="3" t="s">
        <v>20</v>
      </c>
      <c r="D134" s="3">
        <v>16</v>
      </c>
      <c r="E134" s="3">
        <v>43</v>
      </c>
      <c r="F134" s="3">
        <v>58</v>
      </c>
      <c r="G134" s="3">
        <v>51</v>
      </c>
      <c r="H134" s="3">
        <v>37</v>
      </c>
      <c r="I134" s="3">
        <f t="shared" si="12"/>
        <v>205</v>
      </c>
      <c r="J134" s="3">
        <v>500</v>
      </c>
      <c r="K134" s="4">
        <f t="shared" si="13"/>
        <v>0.41</v>
      </c>
      <c r="L134" s="4">
        <f t="shared" si="14"/>
        <v>0.59000000000000008</v>
      </c>
    </row>
    <row r="135" spans="1:12" x14ac:dyDescent="0.3">
      <c r="A135" s="3" t="s">
        <v>224</v>
      </c>
      <c r="B135" s="3" t="s">
        <v>87</v>
      </c>
      <c r="C135" s="3" t="s">
        <v>35</v>
      </c>
      <c r="D135" s="3">
        <v>51</v>
      </c>
      <c r="E135" s="3">
        <v>53</v>
      </c>
      <c r="F135" s="3">
        <v>58</v>
      </c>
      <c r="G135" s="3">
        <v>45</v>
      </c>
      <c r="H135" s="3">
        <v>63</v>
      </c>
      <c r="I135" s="3">
        <f t="shared" si="12"/>
        <v>270</v>
      </c>
      <c r="J135" s="3">
        <v>500</v>
      </c>
      <c r="K135" s="4">
        <f t="shared" si="13"/>
        <v>0.54</v>
      </c>
      <c r="L135" s="4">
        <f t="shared" si="14"/>
        <v>0.45999999999999996</v>
      </c>
    </row>
    <row r="136" spans="1:12" x14ac:dyDescent="0.3">
      <c r="A136" s="3" t="s">
        <v>225</v>
      </c>
      <c r="B136" s="3" t="s">
        <v>89</v>
      </c>
      <c r="C136" s="3" t="s">
        <v>26</v>
      </c>
      <c r="D136" s="3">
        <v>20</v>
      </c>
      <c r="E136" s="3">
        <v>70</v>
      </c>
      <c r="F136" s="3">
        <v>12</v>
      </c>
      <c r="G136" s="3">
        <v>79</v>
      </c>
      <c r="H136" s="3">
        <v>16</v>
      </c>
      <c r="I136" s="3">
        <f t="shared" si="12"/>
        <v>197</v>
      </c>
      <c r="J136" s="3">
        <v>500</v>
      </c>
      <c r="K136" s="4">
        <f t="shared" si="13"/>
        <v>0.39400000000000002</v>
      </c>
      <c r="L136" s="4">
        <f t="shared" si="14"/>
        <v>0.60599999999999998</v>
      </c>
    </row>
    <row r="137" spans="1:12" x14ac:dyDescent="0.3">
      <c r="A137" s="3" t="s">
        <v>226</v>
      </c>
      <c r="B137" s="3" t="s">
        <v>91</v>
      </c>
      <c r="C137" s="3" t="s">
        <v>29</v>
      </c>
      <c r="D137" s="3">
        <v>38</v>
      </c>
      <c r="E137" s="3">
        <v>93</v>
      </c>
      <c r="F137" s="3">
        <v>18</v>
      </c>
      <c r="G137" s="3">
        <v>93</v>
      </c>
      <c r="H137" s="3">
        <v>15</v>
      </c>
      <c r="I137" s="3">
        <f t="shared" si="12"/>
        <v>257</v>
      </c>
      <c r="J137" s="3">
        <v>500</v>
      </c>
      <c r="K137" s="4">
        <f t="shared" si="13"/>
        <v>0.51400000000000001</v>
      </c>
      <c r="L137" s="4">
        <f t="shared" si="14"/>
        <v>0.48599999999999999</v>
      </c>
    </row>
    <row r="138" spans="1:12" x14ac:dyDescent="0.3">
      <c r="A138" s="3" t="s">
        <v>227</v>
      </c>
      <c r="B138" s="3" t="s">
        <v>93</v>
      </c>
      <c r="C138" s="3" t="s">
        <v>14</v>
      </c>
      <c r="D138" s="3">
        <v>41</v>
      </c>
      <c r="E138" s="3">
        <v>35</v>
      </c>
      <c r="F138" s="3">
        <v>12</v>
      </c>
      <c r="G138" s="3">
        <v>89</v>
      </c>
      <c r="H138" s="3">
        <v>29</v>
      </c>
      <c r="I138" s="3">
        <f t="shared" si="12"/>
        <v>206</v>
      </c>
      <c r="J138" s="3">
        <v>500</v>
      </c>
      <c r="K138" s="4">
        <f t="shared" si="13"/>
        <v>0.41199999999999998</v>
      </c>
      <c r="L138" s="4">
        <f t="shared" si="14"/>
        <v>0.58800000000000008</v>
      </c>
    </row>
    <row r="139" spans="1:12" x14ac:dyDescent="0.3">
      <c r="A139" s="3" t="s">
        <v>228</v>
      </c>
      <c r="B139" s="3" t="s">
        <v>95</v>
      </c>
      <c r="C139" s="3" t="s">
        <v>23</v>
      </c>
      <c r="D139" s="3">
        <v>26</v>
      </c>
      <c r="E139" s="3">
        <v>70</v>
      </c>
      <c r="F139" s="3">
        <v>95</v>
      </c>
      <c r="G139" s="3">
        <v>24</v>
      </c>
      <c r="H139" s="3">
        <v>82</v>
      </c>
      <c r="I139" s="3">
        <f t="shared" si="12"/>
        <v>297</v>
      </c>
      <c r="J139" s="3">
        <v>500</v>
      </c>
      <c r="K139" s="4">
        <f t="shared" si="13"/>
        <v>0.59399999999999997</v>
      </c>
      <c r="L139" s="4">
        <f t="shared" si="14"/>
        <v>0.40600000000000003</v>
      </c>
    </row>
    <row r="140" spans="1:12" x14ac:dyDescent="0.3">
      <c r="A140" s="3" t="s">
        <v>229</v>
      </c>
      <c r="B140" s="3" t="s">
        <v>97</v>
      </c>
      <c r="C140" s="3" t="s">
        <v>23</v>
      </c>
      <c r="D140" s="3">
        <v>69</v>
      </c>
      <c r="E140" s="3">
        <v>99</v>
      </c>
      <c r="F140" s="3">
        <v>42</v>
      </c>
      <c r="G140" s="3">
        <v>57</v>
      </c>
      <c r="H140" s="3">
        <v>31</v>
      </c>
      <c r="I140" s="3">
        <f t="shared" si="12"/>
        <v>298</v>
      </c>
      <c r="J140" s="3">
        <v>500</v>
      </c>
      <c r="K140" s="4">
        <f t="shared" si="13"/>
        <v>0.59599999999999997</v>
      </c>
      <c r="L140" s="4">
        <f t="shared" si="14"/>
        <v>0.40400000000000003</v>
      </c>
    </row>
    <row r="141" spans="1:12" x14ac:dyDescent="0.3">
      <c r="A141" s="3" t="s">
        <v>230</v>
      </c>
      <c r="B141" s="3" t="s">
        <v>99</v>
      </c>
      <c r="C141" s="3" t="s">
        <v>17</v>
      </c>
      <c r="D141" s="3">
        <v>30</v>
      </c>
      <c r="E141" s="3">
        <v>49</v>
      </c>
      <c r="F141" s="3">
        <v>23</v>
      </c>
      <c r="G141" s="3">
        <v>84</v>
      </c>
      <c r="H141" s="3">
        <v>13</v>
      </c>
      <c r="I141" s="3">
        <f t="shared" si="12"/>
        <v>199</v>
      </c>
      <c r="J141" s="3">
        <v>500</v>
      </c>
      <c r="K141" s="4">
        <f t="shared" si="13"/>
        <v>0.39800000000000002</v>
      </c>
      <c r="L141" s="4">
        <f t="shared" si="14"/>
        <v>0.60199999999999998</v>
      </c>
    </row>
    <row r="142" spans="1:12" x14ac:dyDescent="0.3">
      <c r="A142" s="3" t="s">
        <v>231</v>
      </c>
      <c r="B142" s="3" t="s">
        <v>101</v>
      </c>
      <c r="C142" s="3" t="s">
        <v>26</v>
      </c>
      <c r="D142" s="3">
        <v>83</v>
      </c>
      <c r="E142" s="3">
        <v>96</v>
      </c>
      <c r="F142" s="3">
        <v>58</v>
      </c>
      <c r="G142" s="3">
        <v>60</v>
      </c>
      <c r="H142" s="3">
        <v>35</v>
      </c>
      <c r="I142" s="3">
        <f t="shared" si="12"/>
        <v>332</v>
      </c>
      <c r="J142" s="3">
        <v>500</v>
      </c>
      <c r="K142" s="4">
        <f t="shared" si="13"/>
        <v>0.66400000000000003</v>
      </c>
      <c r="L142" s="4">
        <f t="shared" si="14"/>
        <v>0.33599999999999997</v>
      </c>
    </row>
    <row r="143" spans="1:12" x14ac:dyDescent="0.3">
      <c r="A143" s="3" t="s">
        <v>232</v>
      </c>
      <c r="B143" s="3" t="s">
        <v>103</v>
      </c>
      <c r="C143" s="3" t="s">
        <v>17</v>
      </c>
      <c r="D143" s="3">
        <v>85</v>
      </c>
      <c r="E143" s="3">
        <v>98</v>
      </c>
      <c r="F143" s="3">
        <v>90</v>
      </c>
      <c r="G143" s="3">
        <v>41</v>
      </c>
      <c r="H143" s="3">
        <v>23</v>
      </c>
      <c r="I143" s="3">
        <f t="shared" si="12"/>
        <v>337</v>
      </c>
      <c r="J143" s="3">
        <v>500</v>
      </c>
      <c r="K143" s="4">
        <f t="shared" si="13"/>
        <v>0.67400000000000004</v>
      </c>
      <c r="L143" s="4">
        <f t="shared" si="14"/>
        <v>0.32599999999999996</v>
      </c>
    </row>
    <row r="144" spans="1:12" x14ac:dyDescent="0.3">
      <c r="A144" s="3" t="s">
        <v>233</v>
      </c>
      <c r="B144" s="3" t="s">
        <v>105</v>
      </c>
      <c r="C144" s="3" t="s">
        <v>26</v>
      </c>
      <c r="D144" s="3">
        <v>97</v>
      </c>
      <c r="E144" s="3">
        <v>86</v>
      </c>
      <c r="F144" s="3">
        <v>25</v>
      </c>
      <c r="G144" s="3">
        <v>82</v>
      </c>
      <c r="H144" s="3">
        <v>15</v>
      </c>
      <c r="I144" s="3">
        <f t="shared" si="12"/>
        <v>305</v>
      </c>
      <c r="J144" s="3">
        <v>500</v>
      </c>
      <c r="K144" s="4">
        <f t="shared" si="13"/>
        <v>0.61</v>
      </c>
      <c r="L144" s="4">
        <f t="shared" si="14"/>
        <v>0.39</v>
      </c>
    </row>
    <row r="145" spans="1:12" x14ac:dyDescent="0.3">
      <c r="A145" s="3" t="s">
        <v>234</v>
      </c>
      <c r="B145" s="3" t="s">
        <v>107</v>
      </c>
      <c r="C145" s="3" t="s">
        <v>29</v>
      </c>
      <c r="D145" s="3">
        <v>78</v>
      </c>
      <c r="E145" s="3">
        <v>64</v>
      </c>
      <c r="F145" s="3">
        <v>94</v>
      </c>
      <c r="G145" s="3">
        <v>57</v>
      </c>
      <c r="H145" s="3">
        <v>18</v>
      </c>
      <c r="I145" s="3">
        <f t="shared" si="12"/>
        <v>311</v>
      </c>
      <c r="J145" s="3">
        <v>500</v>
      </c>
      <c r="K145" s="4">
        <f t="shared" si="13"/>
        <v>0.622</v>
      </c>
      <c r="L145" s="4">
        <f t="shared" si="14"/>
        <v>0.378</v>
      </c>
    </row>
    <row r="146" spans="1:12" x14ac:dyDescent="0.3">
      <c r="A146" s="3" t="s">
        <v>235</v>
      </c>
      <c r="B146" s="3" t="s">
        <v>109</v>
      </c>
      <c r="C146" s="3" t="s">
        <v>29</v>
      </c>
      <c r="D146" s="3">
        <v>11</v>
      </c>
      <c r="E146" s="3">
        <v>63</v>
      </c>
      <c r="F146" s="3">
        <v>72</v>
      </c>
      <c r="G146" s="3">
        <v>23</v>
      </c>
      <c r="H146" s="3">
        <v>65</v>
      </c>
      <c r="I146" s="3">
        <f t="shared" si="12"/>
        <v>234</v>
      </c>
      <c r="J146" s="3">
        <v>500</v>
      </c>
      <c r="K146" s="4">
        <f t="shared" si="13"/>
        <v>0.46800000000000003</v>
      </c>
      <c r="L146" s="4">
        <f t="shared" si="14"/>
        <v>0.53200000000000003</v>
      </c>
    </row>
    <row r="147" spans="1:12" x14ac:dyDescent="0.3">
      <c r="A147" s="3" t="s">
        <v>236</v>
      </c>
      <c r="B147" s="3" t="s">
        <v>111</v>
      </c>
      <c r="C147" s="3" t="s">
        <v>29</v>
      </c>
      <c r="D147" s="3">
        <v>91</v>
      </c>
      <c r="E147" s="3">
        <v>68</v>
      </c>
      <c r="F147" s="3">
        <v>29</v>
      </c>
      <c r="G147" s="3">
        <v>65</v>
      </c>
      <c r="H147" s="3">
        <v>32</v>
      </c>
      <c r="I147" s="3">
        <f t="shared" si="12"/>
        <v>285</v>
      </c>
      <c r="J147" s="3">
        <v>500</v>
      </c>
      <c r="K147" s="4">
        <f t="shared" si="13"/>
        <v>0.56999999999999995</v>
      </c>
      <c r="L147" s="4">
        <f t="shared" si="14"/>
        <v>0.43000000000000005</v>
      </c>
    </row>
    <row r="148" spans="1:12" x14ac:dyDescent="0.3">
      <c r="A148" s="3" t="s">
        <v>237</v>
      </c>
      <c r="B148" s="3" t="s">
        <v>113</v>
      </c>
      <c r="C148" s="3" t="s">
        <v>26</v>
      </c>
      <c r="D148" s="3">
        <v>88</v>
      </c>
      <c r="E148" s="3">
        <v>78</v>
      </c>
      <c r="F148" s="3">
        <v>71</v>
      </c>
      <c r="G148" s="3">
        <v>69</v>
      </c>
      <c r="H148" s="3">
        <v>65</v>
      </c>
      <c r="I148" s="3">
        <f t="shared" si="12"/>
        <v>371</v>
      </c>
      <c r="J148" s="3">
        <v>500</v>
      </c>
      <c r="K148" s="4">
        <f t="shared" si="13"/>
        <v>0.74199999999999999</v>
      </c>
      <c r="L148" s="4">
        <f t="shared" si="14"/>
        <v>0.25800000000000001</v>
      </c>
    </row>
    <row r="149" spans="1:12" x14ac:dyDescent="0.3">
      <c r="A149" s="3" t="s">
        <v>238</v>
      </c>
      <c r="B149" s="3" t="s">
        <v>115</v>
      </c>
      <c r="C149" s="3" t="s">
        <v>26</v>
      </c>
      <c r="D149" s="3">
        <v>51</v>
      </c>
      <c r="E149" s="3">
        <v>41</v>
      </c>
      <c r="F149" s="3">
        <v>21</v>
      </c>
      <c r="G149" s="3">
        <v>45</v>
      </c>
      <c r="H149" s="3">
        <v>67</v>
      </c>
      <c r="I149" s="3">
        <f t="shared" si="12"/>
        <v>225</v>
      </c>
      <c r="J149" s="3">
        <v>500</v>
      </c>
      <c r="K149" s="4">
        <f t="shared" si="13"/>
        <v>0.45</v>
      </c>
      <c r="L149" s="4">
        <f t="shared" si="14"/>
        <v>0.55000000000000004</v>
      </c>
    </row>
    <row r="150" spans="1:12" x14ac:dyDescent="0.3">
      <c r="A150" s="3" t="s">
        <v>239</v>
      </c>
      <c r="B150" s="3" t="s">
        <v>117</v>
      </c>
      <c r="C150" s="3" t="s">
        <v>23</v>
      </c>
      <c r="D150" s="3">
        <v>69</v>
      </c>
      <c r="E150" s="3">
        <v>82</v>
      </c>
      <c r="F150" s="3">
        <v>88</v>
      </c>
      <c r="G150" s="3">
        <v>95</v>
      </c>
      <c r="H150" s="3">
        <v>58</v>
      </c>
      <c r="I150" s="3">
        <f t="shared" si="12"/>
        <v>392</v>
      </c>
      <c r="J150" s="3">
        <v>500</v>
      </c>
      <c r="K150" s="4">
        <f t="shared" si="13"/>
        <v>0.78400000000000003</v>
      </c>
      <c r="L150" s="4">
        <f t="shared" si="14"/>
        <v>0.21599999999999997</v>
      </c>
    </row>
    <row r="151" spans="1:12" x14ac:dyDescent="0.3">
      <c r="A151" s="3" t="s">
        <v>240</v>
      </c>
      <c r="B151" s="3" t="s">
        <v>119</v>
      </c>
      <c r="C151" s="3" t="s">
        <v>29</v>
      </c>
      <c r="D151" s="3">
        <v>13</v>
      </c>
      <c r="E151" s="3">
        <v>73</v>
      </c>
      <c r="F151" s="3">
        <v>51</v>
      </c>
      <c r="G151" s="3">
        <v>33</v>
      </c>
      <c r="H151" s="3">
        <v>72</v>
      </c>
      <c r="I151" s="3">
        <f t="shared" si="12"/>
        <v>242</v>
      </c>
      <c r="J151" s="3">
        <v>500</v>
      </c>
      <c r="K151" s="4">
        <f t="shared" si="13"/>
        <v>0.48399999999999999</v>
      </c>
      <c r="L151" s="4">
        <f t="shared" si="14"/>
        <v>0.51600000000000001</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3"/>
  <sheetViews>
    <sheetView workbookViewId="0">
      <pane ySplit="3" topLeftCell="A4" activePane="bottomLeft" state="frozen"/>
      <selection pane="bottomLeft" sqref="A1:D1"/>
    </sheetView>
  </sheetViews>
  <sheetFormatPr defaultRowHeight="14.4" x14ac:dyDescent="0.3"/>
  <cols>
    <col min="1" max="1" width="34" customWidth="1"/>
    <col min="2" max="2" width="24" customWidth="1"/>
    <col min="3" max="4" width="18" customWidth="1"/>
  </cols>
  <sheetData>
    <row r="1" spans="1:4" ht="17.399999999999999" x14ac:dyDescent="0.3">
      <c r="A1" s="9" t="s">
        <v>241</v>
      </c>
      <c r="B1" s="10"/>
      <c r="C1" s="10"/>
      <c r="D1" s="10"/>
    </row>
    <row r="2" spans="1:4" x14ac:dyDescent="0.3">
      <c r="A2" s="11" t="s">
        <v>242</v>
      </c>
      <c r="B2" s="10"/>
      <c r="C2" s="10"/>
      <c r="D2" s="10"/>
    </row>
    <row r="3" spans="1:4" x14ac:dyDescent="0.3">
      <c r="A3" s="5" t="s">
        <v>243</v>
      </c>
      <c r="B3" s="5" t="s">
        <v>244</v>
      </c>
      <c r="C3" s="5"/>
      <c r="D3" s="5"/>
    </row>
    <row r="4" spans="1:4" x14ac:dyDescent="0.3">
      <c r="A4" s="3" t="s">
        <v>245</v>
      </c>
      <c r="B4" s="6">
        <f>COUNTA('Sales Data'!A2:A151)</f>
        <v>150</v>
      </c>
      <c r="C4" s="3"/>
      <c r="D4" s="3"/>
    </row>
    <row r="5" spans="1:4" x14ac:dyDescent="0.3">
      <c r="A5" s="3" t="s">
        <v>8</v>
      </c>
      <c r="B5" s="7">
        <f>SUM('Sales Data'!I2:I151)</f>
        <v>41404</v>
      </c>
      <c r="C5" s="3"/>
      <c r="D5" s="3"/>
    </row>
    <row r="6" spans="1:4" x14ac:dyDescent="0.3">
      <c r="A6" s="3" t="s">
        <v>246</v>
      </c>
      <c r="B6" s="7">
        <f>SUM('Sales Data'!J2:J151)</f>
        <v>75000</v>
      </c>
      <c r="C6" s="3"/>
      <c r="D6" s="3"/>
    </row>
    <row r="7" spans="1:4" x14ac:dyDescent="0.3">
      <c r="A7" s="3" t="s">
        <v>247</v>
      </c>
      <c r="B7" s="4">
        <f>B5/B6</f>
        <v>0.55205333333333328</v>
      </c>
      <c r="C7" s="3"/>
      <c r="D7" s="3"/>
    </row>
    <row r="8" spans="1:4" x14ac:dyDescent="0.3">
      <c r="A8" s="3" t="s">
        <v>248</v>
      </c>
      <c r="B8" s="8">
        <f>AVERAGE('Sales Data'!I2:I151)</f>
        <v>276.02666666666664</v>
      </c>
      <c r="C8" s="3"/>
      <c r="D8" s="3"/>
    </row>
    <row r="9" spans="1:4" x14ac:dyDescent="0.3">
      <c r="A9" s="3" t="s">
        <v>249</v>
      </c>
      <c r="B9" s="6">
        <f>COUNTIF('Sales Data'!I2:I151,"&gt;=500")</f>
        <v>0</v>
      </c>
      <c r="C9" s="3"/>
      <c r="D9" s="3"/>
    </row>
    <row r="10" spans="1:4" x14ac:dyDescent="0.3">
      <c r="A10" s="3" t="s">
        <v>250</v>
      </c>
      <c r="B10" s="6" t="e">
        <f>COUNTIF('Sales Data'!#REF!,"From screenshot")</f>
        <v>#REF!</v>
      </c>
      <c r="C10" s="3"/>
      <c r="D10" s="3"/>
    </row>
    <row r="11" spans="1:4" x14ac:dyDescent="0.3">
      <c r="A11" s="3" t="s">
        <v>251</v>
      </c>
      <c r="B11" s="6" t="e">
        <f>COUNTIF('Sales Data'!#REF!,"Sample data")</f>
        <v>#REF!</v>
      </c>
      <c r="C11" s="3"/>
      <c r="D11" s="3"/>
    </row>
    <row r="12" spans="1:4" x14ac:dyDescent="0.3">
      <c r="A12" s="3"/>
      <c r="B12" s="3"/>
      <c r="C12" s="3"/>
      <c r="D12" s="3"/>
    </row>
    <row r="13" spans="1:4" ht="31.95" customHeight="1" x14ac:dyDescent="0.3">
      <c r="A13" s="3" t="s">
        <v>252</v>
      </c>
      <c r="B13" s="11" t="s">
        <v>253</v>
      </c>
      <c r="C13" s="10"/>
      <c r="D13" s="10"/>
    </row>
  </sheetData>
  <mergeCells count="3">
    <mergeCell ref="A1:D1"/>
    <mergeCell ref="B13:D13"/>
    <mergeCell ref="A2:D2"/>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Sales Data</vt:lpstr>
      <vt:lpstr>Project Summary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openpyxl;Abhishek</dc:creator>
  <cp:lastModifiedBy>Narwade</cp:lastModifiedBy>
  <dcterms:created xsi:type="dcterms:W3CDTF">2026-10-23T11:13:56Z</dcterms:created>
  <dcterms:modified xsi:type="dcterms:W3CDTF">2026-10-23T16:55:15Z</dcterms:modified>
</cp:coreProperties>
</file>